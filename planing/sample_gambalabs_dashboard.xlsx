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_대시보드" sheetId="1" state="visible" r:id="rId1"/>
    <sheet xmlns:r="http://schemas.openxmlformats.org/officeDocument/2006/relationships" name="프로젝트_일정" sheetId="2" state="visible" r:id="rId2"/>
    <sheet xmlns:r="http://schemas.openxmlformats.org/officeDocument/2006/relationships" name="연구비_집행내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&quot;원&quot;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color rgb="001B365D"/>
      <sz val="14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  <fill>
      <patternFill patternType="solid">
        <fgColor rgb="00EBF8FF"/>
        <bgColor rgb="00EBF8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3" fillId="4" borderId="1" pivotButton="0" quotePrefix="0" xfId="0"/>
    <xf numFmtId="165" fontId="4" fillId="4" borderId="1" pivotButton="0" quotePrefix="0" xfId="0"/>
    <xf numFmtId="164" fontId="4" fillId="4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2" fillId="3" borderId="1" pivotButton="0" quotePrefix="0" xfId="0"/>
    <xf numFmtId="165" fontId="2" fillId="3" borderId="1" applyAlignment="1" pivotButton="0" quotePrefix="0" xfId="0">
      <alignment horizontal="right" vertical="center"/>
    </xf>
    <xf numFmtId="0" fontId="2" fillId="0" borderId="1" pivotButton="0" quotePrefix="0" xfId="0"/>
    <xf numFmtId="165" fontId="2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ill>
        <patternFill patternType="solid">
          <fgColor rgb="00C6F6D5"/>
          <bgColor rgb="00C6F6D5"/>
        </patternFill>
      </fill>
    </dxf>
    <dxf>
      <fill>
        <patternFill patternType="solid">
          <fgColor rgb="00FED7D7"/>
          <bgColor rgb="00FE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연구비 집행 현황 (책정 vs 집행)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'연구비_집행내역'!B1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'연구비_집행내역'!$A$2:$A$5</f>
            </numRef>
          </cat>
          <val>
            <numRef>
              <f>'연구비_집행내역'!$B$2:$B$5</f>
            </numRef>
          </val>
        </ser>
        <ser>
          <idx val="1"/>
          <order val="1"/>
          <tx>
            <strRef>
              <f>'연구비_집행내역'!C1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'연구비_집행내역'!$A$2:$A$5</f>
            </numRef>
          </cat>
          <val>
            <numRef>
              <f>'연구비_집행내역'!$C$2:$C$5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금액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16" customWidth="1" min="4" max="4"/>
    <col width="14" customWidth="1" min="5" max="5"/>
    <col width="16" customWidth="1" min="6" max="6"/>
  </cols>
  <sheetData>
    <row r="1"/>
    <row r="2">
      <c r="B2" s="1" t="inlineStr">
        <is>
          <t>📊 감바랩스 R&amp;D 프로젝트 통합 대시보드</t>
        </is>
      </c>
    </row>
    <row r="3"/>
    <row r="4">
      <c r="B4" s="2" t="inlineStr">
        <is>
          <t>총 책정 예산</t>
        </is>
      </c>
      <c r="D4" s="2" t="inlineStr">
        <is>
          <t>총 집행 금액</t>
        </is>
      </c>
      <c r="F4" s="2" t="inlineStr">
        <is>
          <t>평균 집행률</t>
        </is>
      </c>
    </row>
    <row r="5">
      <c r="B5" s="3">
        <f>연구비_집행내역!B6</f>
        <v/>
      </c>
      <c r="D5" s="3">
        <f>연구비_집행내역!C6</f>
        <v/>
      </c>
      <c r="F5" s="4">
        <f>연구비_집행내역!E6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모듈명</t>
        </is>
      </c>
      <c r="B1" s="5" t="inlineStr">
        <is>
          <t>담당자</t>
        </is>
      </c>
      <c r="C1" s="5" t="inlineStr">
        <is>
          <t>시작일</t>
        </is>
      </c>
      <c r="D1" s="5" t="inlineStr">
        <is>
          <t>종료일</t>
        </is>
      </c>
      <c r="E1" s="5" t="inlineStr">
        <is>
          <t>진행상태</t>
        </is>
      </c>
      <c r="F1" s="5" t="inlineStr">
        <is>
          <t>달성률</t>
        </is>
      </c>
    </row>
    <row r="2">
      <c r="A2" s="6" t="inlineStr">
        <is>
          <t>Polaris AI 연동 파서</t>
        </is>
      </c>
      <c r="B2" s="6" t="inlineStr">
        <is>
          <t>김지민</t>
        </is>
      </c>
      <c r="C2" s="7" t="inlineStr">
        <is>
          <t>2026-07-01</t>
        </is>
      </c>
      <c r="D2" s="7" t="inlineStr">
        <is>
          <t>2026-08-15</t>
        </is>
      </c>
      <c r="E2" s="7" t="inlineStr">
        <is>
          <t>진행중</t>
        </is>
      </c>
      <c r="F2" s="8" t="n">
        <v>0.75</v>
      </c>
    </row>
    <row r="3">
      <c r="A3" s="9" t="inlineStr">
        <is>
          <t>GPT Custom Skill 설계</t>
        </is>
      </c>
      <c r="B3" s="9" t="inlineStr">
        <is>
          <t>지우가람</t>
        </is>
      </c>
      <c r="C3" s="10" t="inlineStr">
        <is>
          <t>2026-07-10</t>
        </is>
      </c>
      <c r="D3" s="10" t="inlineStr">
        <is>
          <t>2026-08-30</t>
        </is>
      </c>
      <c r="E3" s="10" t="inlineStr">
        <is>
          <t>진행중</t>
        </is>
      </c>
      <c r="F3" s="11" t="n">
        <v>0.5</v>
      </c>
    </row>
    <row r="4">
      <c r="A4" s="6" t="inlineStr">
        <is>
          <t>Teams/Outlook 챗봇 구축</t>
        </is>
      </c>
      <c r="B4" s="6" t="inlineStr">
        <is>
          <t>노윤지</t>
        </is>
      </c>
      <c r="C4" s="7" t="inlineStr">
        <is>
          <t>2026-08-01</t>
        </is>
      </c>
      <c r="D4" s="7" t="inlineStr">
        <is>
          <t>2026-09-15</t>
        </is>
      </c>
      <c r="E4" s="7" t="inlineStr">
        <is>
          <t>대기</t>
        </is>
      </c>
      <c r="F4" s="8" t="n">
        <v>0.1</v>
      </c>
    </row>
    <row r="5">
      <c r="A5" s="9" t="inlineStr">
        <is>
          <t>Excel 수식 보존 연동</t>
        </is>
      </c>
      <c r="B5" s="9" t="inlineStr">
        <is>
          <t>신성욱</t>
        </is>
      </c>
      <c r="C5" s="10" t="inlineStr">
        <is>
          <t>2026-07-15</t>
        </is>
      </c>
      <c r="D5" s="10" t="inlineStr">
        <is>
          <t>2026-08-20</t>
        </is>
      </c>
      <c r="E5" s="10" t="inlineStr">
        <is>
          <t>진행중</t>
        </is>
      </c>
      <c r="F5" s="11" t="n">
        <v>0.6</v>
      </c>
    </row>
  </sheetData>
  <conditionalFormatting sqref="E2:E10">
    <cfRule type="cellIs" priority="1" operator="equal" dxfId="0">
      <formula>"완료"</formula>
    </cfRule>
    <cfRule type="cellIs" priority="2" operator="equal" dxfId="1">
      <formula>"지연"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4" customWidth="1" min="5" max="5"/>
  </cols>
  <sheetData>
    <row r="1">
      <c r="A1" s="5" t="inlineStr">
        <is>
          <t>항목명</t>
        </is>
      </c>
      <c r="B1" s="5" t="inlineStr">
        <is>
          <t>책정 예산(원)</t>
        </is>
      </c>
      <c r="C1" s="5" t="inlineStr">
        <is>
          <t>집행 금액(원)</t>
        </is>
      </c>
      <c r="D1" s="5" t="inlineStr">
        <is>
          <t>잔여 예산(원)</t>
        </is>
      </c>
      <c r="E1" s="5" t="inlineStr">
        <is>
          <t>집행률</t>
        </is>
      </c>
    </row>
    <row r="2">
      <c r="A2" s="12" t="inlineStr">
        <is>
          <t>Polaris AI API 파싱 개발</t>
        </is>
      </c>
      <c r="B2" s="13" t="n">
        <v>5000000</v>
      </c>
      <c r="C2" s="13" t="n">
        <v>3200000</v>
      </c>
      <c r="D2" s="13">
        <f>B2-C2</f>
        <v/>
      </c>
      <c r="E2" s="8">
        <f>C2/B2</f>
        <v/>
      </c>
    </row>
    <row r="3">
      <c r="A3" s="14" t="inlineStr">
        <is>
          <t>서버 증설 및 GPU 임차</t>
        </is>
      </c>
      <c r="B3" s="15" t="n">
        <v>3500000</v>
      </c>
      <c r="C3" s="15" t="n">
        <v>1500000</v>
      </c>
      <c r="D3" s="15">
        <f>B3-C3</f>
        <v/>
      </c>
      <c r="E3" s="11">
        <f>C3/B3</f>
        <v/>
      </c>
    </row>
    <row r="4">
      <c r="A4" s="12" t="inlineStr">
        <is>
          <t>MS Teams/Outlook 챗봇 연동</t>
        </is>
      </c>
      <c r="B4" s="13" t="n">
        <v>4000000</v>
      </c>
      <c r="C4" s="13" t="n">
        <v>800000</v>
      </c>
      <c r="D4" s="13">
        <f>B4-C4</f>
        <v/>
      </c>
      <c r="E4" s="8">
        <f>C4/B4</f>
        <v/>
      </c>
    </row>
    <row r="5">
      <c r="A5" s="14" t="inlineStr">
        <is>
          <t>기타 운영비 및 제반 비용</t>
        </is>
      </c>
      <c r="B5" s="15" t="n">
        <v>1500000</v>
      </c>
      <c r="C5" s="15" t="n">
        <v>500000</v>
      </c>
      <c r="D5" s="15">
        <f>B5-C5</f>
        <v/>
      </c>
      <c r="E5" s="11">
        <f>C5/B5</f>
        <v/>
      </c>
    </row>
    <row r="6">
      <c r="A6" s="16" t="inlineStr">
        <is>
          <t>합계</t>
        </is>
      </c>
      <c r="B6" s="17">
        <f>SUM(B2:B5)</f>
        <v/>
      </c>
      <c r="C6" s="17">
        <f>SUM(C2:C5)</f>
        <v/>
      </c>
      <c r="D6" s="17">
        <f>SUM(D2:D5)</f>
        <v/>
      </c>
      <c r="E6" s="18">
        <f>C6/B6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2026-07-29T07:39:33Z</dcterms:created>
  <dcterms:modified xmlns:dcterms="http://purl.org/dc/terms/" xmlns:xsi="http://www.w3.org/2001/XMLSchema-instance" xsi:type="dcterms:W3CDTF">2026-07-29T07:39:33Z</dcterms:modified>
</cp:coreProperties>
</file>