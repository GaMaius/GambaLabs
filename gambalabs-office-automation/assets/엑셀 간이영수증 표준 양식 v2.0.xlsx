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ropbox\9. 내 드롭박스\@. #오빠두\# 홈페이지 공유파일\3. 문서서식\@완\42888_엑셀 간이영수증 양식\"/>
    </mc:Choice>
  </mc:AlternateContent>
  <xr:revisionPtr revIDLastSave="0" documentId="13_ncr:1_{435278D2-F742-4622-BA0A-668C9E31E76D}" xr6:coauthVersionLast="47" xr6:coauthVersionMax="47" xr10:uidLastSave="{00000000-0000-0000-0000-000000000000}"/>
  <bookViews>
    <workbookView xWindow="-108" yWindow="-108" windowWidth="22680" windowHeight="14472" xr2:uid="{9DC7CECA-D0D5-4CFC-AABC-AD7472DCABA5}"/>
  </bookViews>
  <sheets>
    <sheet name="영수증(빈 서식)" sheetId="4" r:id="rId1"/>
    <sheet name="영수증" sheetId="1" r:id="rId2"/>
    <sheet name="영수증DB" sheetId="3" r:id="rId3"/>
  </sheets>
  <definedNames>
    <definedName name="_xlnm.Print_Area" localSheetId="1">영수증!$B$2:$AI$27</definedName>
    <definedName name="_xlnm.Print_Area" localSheetId="0">'영수증(빈 서식)'!$B$2:$AI$27</definedName>
    <definedName name="합계범위" localSheetId="0">OFFSET('영수증(빈 서식)'!$Q$12,,,COUNTIF('영수증(빈 서식)'!$Q$12:$Q$26,"*?"))</definedName>
    <definedName name="합계범위">OFFSET(영수증!$Q$12,,,COUNTIF(영수증!$Q$12:$Q$26,"*?"))</definedName>
  </definedNames>
  <calcPr calcId="191029" calcOnSave="0" concurrentManual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26" i="4" l="1"/>
  <c r="AF26" i="4"/>
  <c r="AD26" i="4"/>
  <c r="AB26" i="4"/>
  <c r="Z26" i="4"/>
  <c r="AH25" i="4"/>
  <c r="AF25" i="4"/>
  <c r="AD25" i="4"/>
  <c r="AB25" i="4"/>
  <c r="Z25" i="4"/>
  <c r="AH24" i="4"/>
  <c r="AF24" i="4"/>
  <c r="AD24" i="4"/>
  <c r="AB24" i="4"/>
  <c r="Z24" i="4"/>
  <c r="AH23" i="4"/>
  <c r="AF23" i="4"/>
  <c r="AD23" i="4"/>
  <c r="AB23" i="4"/>
  <c r="Z23" i="4"/>
  <c r="AH22" i="4"/>
  <c r="AF22" i="4"/>
  <c r="AD22" i="4"/>
  <c r="AB22" i="4"/>
  <c r="Z22" i="4"/>
  <c r="AH21" i="4"/>
  <c r="AF21" i="4"/>
  <c r="AD21" i="4"/>
  <c r="AB21" i="4"/>
  <c r="Z21" i="4"/>
  <c r="AH20" i="4"/>
  <c r="AF20" i="4"/>
  <c r="AD20" i="4"/>
  <c r="AB20" i="4"/>
  <c r="Z20" i="4"/>
  <c r="AH19" i="4"/>
  <c r="AF19" i="4"/>
  <c r="AD19" i="4"/>
  <c r="AB19" i="4"/>
  <c r="Z19" i="4"/>
  <c r="AH18" i="4"/>
  <c r="AF18" i="4"/>
  <c r="AD18" i="4"/>
  <c r="AB18" i="4"/>
  <c r="Z18" i="4"/>
  <c r="AH17" i="4"/>
  <c r="AF17" i="4"/>
  <c r="AD17" i="4"/>
  <c r="AB17" i="4"/>
  <c r="Z17" i="4"/>
  <c r="AH16" i="4"/>
  <c r="AF16" i="4"/>
  <c r="AD16" i="4"/>
  <c r="AB16" i="4"/>
  <c r="Z16" i="4"/>
  <c r="AH15" i="4"/>
  <c r="AF15" i="4"/>
  <c r="AD15" i="4"/>
  <c r="AB15" i="4"/>
  <c r="Z15" i="4"/>
  <c r="AH14" i="4"/>
  <c r="AF14" i="4"/>
  <c r="AD14" i="4"/>
  <c r="AB14" i="4"/>
  <c r="Z14" i="4"/>
  <c r="AH13" i="4"/>
  <c r="AF13" i="4"/>
  <c r="AD13" i="4"/>
  <c r="AB13" i="4"/>
  <c r="Z13" i="4"/>
  <c r="AH12" i="4"/>
  <c r="AD12" i="4"/>
  <c r="AB12" i="4"/>
  <c r="Z12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AF12" i="4" s="1"/>
  <c r="K27" i="4"/>
  <c r="T9" i="4"/>
  <c r="AE7" i="4"/>
  <c r="X7" i="4"/>
  <c r="X6" i="4"/>
  <c r="AE5" i="4"/>
  <c r="X5" i="4"/>
  <c r="X4" i="4"/>
  <c r="U3" i="4"/>
  <c r="AB3" i="4"/>
  <c r="U3" i="1"/>
  <c r="J3" i="1"/>
  <c r="AB3" i="1" s="1"/>
  <c r="H13" i="1" a="1"/>
  <c r="H13" i="1"/>
  <c r="Z13" i="1" s="1"/>
  <c r="H14" i="1" a="1"/>
  <c r="H14" i="1"/>
  <c r="Z14" i="1" s="1"/>
  <c r="H15" i="1" a="1"/>
  <c r="H15" i="1"/>
  <c r="Z15" i="1" s="1"/>
  <c r="H16" i="1" a="1"/>
  <c r="H16" i="1"/>
  <c r="Z16" i="1" s="1"/>
  <c r="H17" i="1" a="1"/>
  <c r="H17" i="1"/>
  <c r="Z17" i="1" s="1"/>
  <c r="H18" i="1" a="1"/>
  <c r="H18" i="1"/>
  <c r="Z18" i="1" s="1"/>
  <c r="H19" i="1" a="1"/>
  <c r="H19" i="1"/>
  <c r="Z19" i="1" s="1"/>
  <c r="H20" i="1" a="1"/>
  <c r="H20" i="1"/>
  <c r="Z20" i="1" s="1"/>
  <c r="H21" i="1" a="1"/>
  <c r="H21" i="1"/>
  <c r="Z21" i="1" s="1"/>
  <c r="H22" i="1" a="1"/>
  <c r="H22" i="1"/>
  <c r="Z22" i="1" s="1"/>
  <c r="H23" i="1" a="1"/>
  <c r="H23" i="1"/>
  <c r="Z23" i="1" s="1"/>
  <c r="H24" i="1" a="1"/>
  <c r="H24" i="1"/>
  <c r="Z24" i="1" s="1"/>
  <c r="H25" i="1" a="1"/>
  <c r="H25" i="1"/>
  <c r="Z25" i="1" s="1"/>
  <c r="H26" i="1" a="1"/>
  <c r="H26" i="1"/>
  <c r="Z26" i="1" s="1"/>
  <c r="Q16" i="1" a="1"/>
  <c r="Q16" i="1"/>
  <c r="AI16" i="1" s="1"/>
  <c r="Q17" i="1" a="1"/>
  <c r="Q17" i="1"/>
  <c r="AI17" i="1" s="1"/>
  <c r="Q18" i="1" a="1"/>
  <c r="Q18" i="1"/>
  <c r="AI18" i="1" s="1"/>
  <c r="Q19" i="1" a="1"/>
  <c r="Q19" i="1"/>
  <c r="AI19" i="1" s="1"/>
  <c r="Q20" i="1" a="1"/>
  <c r="Q20" i="1"/>
  <c r="AI20" i="1" s="1"/>
  <c r="Q21" i="1" a="1"/>
  <c r="Q21" i="1"/>
  <c r="AI21" i="1" s="1"/>
  <c r="Q22" i="1" a="1"/>
  <c r="Q22" i="1"/>
  <c r="AI22" i="1" s="1"/>
  <c r="Q23" i="1" a="1"/>
  <c r="Q23" i="1"/>
  <c r="AI23" i="1" s="1"/>
  <c r="Q24" i="1" a="1"/>
  <c r="Q24" i="1"/>
  <c r="AI24" i="1" s="1"/>
  <c r="Q25" i="1" a="1"/>
  <c r="Q25" i="1"/>
  <c r="AI25" i="1" s="1"/>
  <c r="Q26" i="1" a="1"/>
  <c r="Q26" i="1"/>
  <c r="AI26" i="1" s="1"/>
  <c r="M13" i="1" a="1"/>
  <c r="M13" i="1"/>
  <c r="AE13" i="1" s="1"/>
  <c r="M14" i="1" a="1"/>
  <c r="M14" i="1"/>
  <c r="AE14" i="1" s="1"/>
  <c r="M15" i="1" a="1"/>
  <c r="M15" i="1"/>
  <c r="AE15" i="1" s="1"/>
  <c r="M16" i="1" a="1"/>
  <c r="M16" i="1"/>
  <c r="AE16" i="1" s="1"/>
  <c r="M17" i="1" a="1"/>
  <c r="M17" i="1"/>
  <c r="AE17" i="1" s="1"/>
  <c r="M18" i="1" a="1"/>
  <c r="M18" i="1"/>
  <c r="AE18" i="1" s="1"/>
  <c r="M19" i="1" a="1"/>
  <c r="M19" i="1"/>
  <c r="AE19" i="1" s="1"/>
  <c r="M20" i="1" a="1"/>
  <c r="M20" i="1"/>
  <c r="AE20" i="1" s="1"/>
  <c r="M21" i="1" a="1"/>
  <c r="M21" i="1"/>
  <c r="AE21" i="1" s="1"/>
  <c r="M22" i="1" a="1"/>
  <c r="M22" i="1"/>
  <c r="AE22" i="1" s="1"/>
  <c r="M23" i="1" a="1"/>
  <c r="M23" i="1"/>
  <c r="AE23" i="1" s="1"/>
  <c r="M24" i="1" a="1"/>
  <c r="M24" i="1"/>
  <c r="AE24" i="1" s="1"/>
  <c r="M25" i="1" a="1"/>
  <c r="M25" i="1"/>
  <c r="AE25" i="1" s="1"/>
  <c r="M26" i="1" a="1"/>
  <c r="M26" i="1"/>
  <c r="AE26" i="1" s="1"/>
  <c r="B13" i="1" a="1"/>
  <c r="B13" i="1"/>
  <c r="T13" i="1" s="1"/>
  <c r="B14" i="1" a="1"/>
  <c r="B14" i="1"/>
  <c r="T14" i="1" s="1"/>
  <c r="B15" i="1" a="1"/>
  <c r="B15" i="1"/>
  <c r="T15" i="1" s="1"/>
  <c r="B16" i="1" a="1"/>
  <c r="B16" i="1"/>
  <c r="T16" i="1" s="1"/>
  <c r="B17" i="1" a="1"/>
  <c r="B17" i="1"/>
  <c r="T17" i="1" s="1"/>
  <c r="B18" i="1" a="1"/>
  <c r="B18" i="1"/>
  <c r="T18" i="1" s="1"/>
  <c r="B19" i="1" a="1"/>
  <c r="B19" i="1"/>
  <c r="T19" i="1" s="1"/>
  <c r="B20" i="1" a="1"/>
  <c r="B20" i="1"/>
  <c r="T20" i="1" s="1"/>
  <c r="B21" i="1" a="1"/>
  <c r="B21" i="1"/>
  <c r="T21" i="1" s="1"/>
  <c r="B22" i="1" a="1"/>
  <c r="B22" i="1"/>
  <c r="T22" i="1" s="1"/>
  <c r="B23" i="1" a="1"/>
  <c r="B23" i="1"/>
  <c r="T23" i="1" s="1"/>
  <c r="B24" i="1" a="1"/>
  <c r="B24" i="1"/>
  <c r="T24" i="1" s="1"/>
  <c r="B25" i="1" a="1"/>
  <c r="B25" i="1"/>
  <c r="T25" i="1" s="1"/>
  <c r="B26" i="1" a="1"/>
  <c r="B26" i="1"/>
  <c r="T26" i="1" s="1"/>
  <c r="B12" i="1" a="1"/>
  <c r="B12" i="1"/>
  <c r="T12" i="1" s="1"/>
  <c r="M12" i="1" a="1"/>
  <c r="M12" i="1"/>
  <c r="AE12" i="1" s="1"/>
  <c r="H12" i="1" a="1"/>
  <c r="H12" i="1"/>
  <c r="Z12" i="1" s="1"/>
  <c r="D13" i="1" a="1"/>
  <c r="D13" i="1"/>
  <c r="V13" i="1" s="1"/>
  <c r="D14" i="1" a="1"/>
  <c r="D14" i="1"/>
  <c r="V14" i="1" s="1"/>
  <c r="D15" i="1" a="1"/>
  <c r="D15" i="1"/>
  <c r="V15" i="1" s="1"/>
  <c r="D16" i="1" a="1"/>
  <c r="D16" i="1"/>
  <c r="V16" i="1" s="1"/>
  <c r="D17" i="1" a="1"/>
  <c r="D17" i="1"/>
  <c r="V17" i="1" s="1"/>
  <c r="D18" i="1" a="1"/>
  <c r="D18" i="1"/>
  <c r="V18" i="1" s="1"/>
  <c r="D19" i="1" a="1"/>
  <c r="D19" i="1"/>
  <c r="V19" i="1" s="1"/>
  <c r="D20" i="1" a="1"/>
  <c r="D20" i="1"/>
  <c r="V20" i="1" s="1"/>
  <c r="D21" i="1" a="1"/>
  <c r="D21" i="1"/>
  <c r="V21" i="1" s="1"/>
  <c r="D22" i="1" a="1"/>
  <c r="D22" i="1"/>
  <c r="V22" i="1" s="1"/>
  <c r="D23" i="1" a="1"/>
  <c r="D23" i="1"/>
  <c r="V23" i="1" s="1"/>
  <c r="D24" i="1" a="1"/>
  <c r="D24" i="1"/>
  <c r="V24" i="1" s="1"/>
  <c r="D25" i="1" a="1"/>
  <c r="D25" i="1"/>
  <c r="V25" i="1" s="1"/>
  <c r="D26" i="1" a="1"/>
  <c r="D26" i="1"/>
  <c r="V26" i="1" s="1"/>
  <c r="D12" i="1" a="1"/>
  <c r="D12" i="1"/>
  <c r="V12" i="1" s="1"/>
  <c r="I2" i="3" a="1"/>
  <c r="I2" i="3"/>
  <c r="G12" i="3"/>
  <c r="Q15" i="1" s="1" a="1"/>
  <c r="Q15" i="1" s="1"/>
  <c r="AI15" i="1" s="1"/>
  <c r="G11" i="3"/>
  <c r="Q14" i="1" s="1" a="1"/>
  <c r="Q14" i="1" s="1"/>
  <c r="AI14" i="1" s="1"/>
  <c r="G10" i="3"/>
  <c r="Q13" i="1" s="1" a="1"/>
  <c r="Q13" i="1" s="1"/>
  <c r="AI13" i="1" s="1"/>
  <c r="G9" i="3"/>
  <c r="Q12" i="1" s="1" a="1"/>
  <c r="Q12" i="1" s="1"/>
  <c r="AI12" i="1" s="1"/>
  <c r="G8" i="3"/>
  <c r="G7" i="3"/>
  <c r="G6" i="3"/>
  <c r="G5" i="3"/>
  <c r="G4" i="3"/>
  <c r="G3" i="3"/>
  <c r="G2" i="3"/>
  <c r="T9" i="1"/>
  <c r="B9" i="1"/>
  <c r="AE7" i="1"/>
  <c r="X7" i="1"/>
  <c r="X6" i="1"/>
  <c r="AE5" i="1"/>
  <c r="X5" i="1"/>
  <c r="X4" i="1"/>
  <c r="Q27" i="1" l="1" a="1"/>
  <c r="Q27" i="1" s="1"/>
  <c r="I3" i="3" a="1"/>
  <c r="I3" i="3" s="1"/>
  <c r="I4" i="3" a="1"/>
  <c r="I4" i="3" s="1"/>
  <c r="AC27" i="4" l="1"/>
  <c r="G9" i="4"/>
  <c r="Y9" i="4" s="1"/>
  <c r="G9" i="1"/>
  <c r="Y9" i="1" s="1"/>
  <c r="AI27" i="1"/>
  <c r="I5" i="3" a="1"/>
  <c r="I5" i="3" s="1"/>
  <c r="I6" i="3" a="1"/>
  <c r="I6" i="3" s="1"/>
  <c r="I7" i="3" a="1"/>
  <c r="I7" i="3" s="1"/>
  <c r="I8" i="3" a="1"/>
  <c r="I8" i="3" s="1"/>
  <c r="I9" i="3" a="1"/>
  <c r="I9" i="3" s="1"/>
  <c r="I10" i="3" a="1"/>
  <c r="I10" i="3" s="1"/>
  <c r="I11" i="3" a="1"/>
  <c r="I11" i="3" s="1"/>
  <c r="I12" i="3" a="1"/>
  <c r="I12" i="3" s="1"/>
  <c r="I13" i="3" a="1"/>
  <c r="I13" i="3" s="1"/>
  <c r="I14" i="3" a="1"/>
  <c r="I14" i="3" s="1"/>
  <c r="I15" i="3" a="1"/>
  <c r="I15" i="3" s="1"/>
  <c r="I16" i="3" a="1"/>
  <c r="I16" i="3" s="1"/>
  <c r="I17" i="3" a="1"/>
  <c r="I17" i="3" s="1"/>
  <c r="I18" i="3" a="1"/>
  <c r="I18" i="3" s="1"/>
  <c r="I19" i="3" a="1"/>
  <c r="I19" i="3" s="1"/>
  <c r="I20" i="3" a="1"/>
  <c r="I20" i="3" s="1"/>
  <c r="I21" i="3" a="1"/>
  <c r="I21" i="3" s="1"/>
  <c r="I22" i="3" a="1"/>
  <c r="I22" i="3" s="1"/>
  <c r="I23" i="3" a="1"/>
  <c r="I23" i="3" s="1"/>
  <c r="I24" i="3" a="1"/>
  <c r="I24" i="3" s="1"/>
  <c r="I25" i="3" a="1"/>
  <c r="I25" i="3" s="1"/>
  <c r="I26" i="3" a="1"/>
  <c r="I26" i="3" s="1"/>
  <c r="I27" i="3" a="1"/>
  <c r="I27" i="3" s="1"/>
  <c r="I28" i="3" a="1"/>
  <c r="I28" i="3" s="1"/>
  <c r="I29" i="3" a="1"/>
  <c r="I29" i="3" s="1"/>
  <c r="I30" i="3" a="1"/>
  <c r="I30" i="3" s="1"/>
  <c r="I31" i="3" a="1"/>
  <c r="I31" i="3" s="1"/>
  <c r="I32" i="3" a="1"/>
  <c r="I32" i="3" s="1"/>
  <c r="I33" i="3" a="1"/>
  <c r="I33" i="3" s="1"/>
  <c r="I34" i="3" a="1"/>
  <c r="I34" i="3" s="1"/>
  <c r="I35" i="3" a="1"/>
  <c r="I35" i="3" s="1"/>
  <c r="I36" i="3" a="1"/>
  <c r="I36" i="3" s="1"/>
  <c r="I37" i="3" a="1"/>
  <c r="I37" i="3" s="1"/>
  <c r="I38" i="3" a="1"/>
  <c r="I38" i="3" s="1"/>
  <c r="I39" i="3" a="1"/>
  <c r="I39" i="3" s="1"/>
  <c r="I40" i="3" a="1"/>
  <c r="I40" i="3" s="1"/>
  <c r="I41" i="3" a="1"/>
  <c r="I41" i="3" s="1"/>
  <c r="I42" i="3" a="1"/>
  <c r="I42" i="3" s="1"/>
  <c r="I43" i="3" a="1"/>
  <c r="I43" i="3" s="1"/>
  <c r="I44" i="3" a="1"/>
  <c r="I44" i="3" s="1"/>
  <c r="I45" i="3" a="1"/>
  <c r="I45" i="3" s="1"/>
  <c r="I46" i="3" a="1"/>
  <c r="I46" i="3" s="1"/>
  <c r="I47" i="3" a="1"/>
  <c r="I47" i="3" s="1"/>
  <c r="I48" i="3" a="1"/>
  <c r="I48" i="3" s="1"/>
  <c r="I49" i="3" a="1"/>
  <c r="I49" i="3" s="1"/>
  <c r="I50" i="3" a="1"/>
  <c r="I50" i="3" s="1"/>
  <c r="I51" i="3" a="1"/>
  <c r="I5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<sst xmlns="http://schemas.openxmlformats.org/spreadsheetml/2006/main" count="146" uniqueCount="53">
  <si>
    <r>
      <t xml:space="preserve">영 수 증 </t>
    </r>
    <r>
      <rPr>
        <b/>
        <sz val="10"/>
        <color indexed="12"/>
        <rFont val="굴림"/>
        <family val="3"/>
        <charset val="129"/>
      </rPr>
      <t>(공급받는자용)</t>
    </r>
    <phoneticPr fontId="4" type="noConversion"/>
  </si>
  <si>
    <r>
      <t xml:space="preserve">영 수 증 </t>
    </r>
    <r>
      <rPr>
        <b/>
        <sz val="10"/>
        <color rgb="FFFF0000"/>
        <rFont val="굴림"/>
        <family val="3"/>
        <charset val="129"/>
      </rPr>
      <t>(공급자용)</t>
    </r>
    <phoneticPr fontId="4" type="noConversion"/>
  </si>
  <si>
    <t>귀 하</t>
    <phoneticPr fontId="4" type="noConversion"/>
  </si>
  <si>
    <t>공
급
자</t>
    <phoneticPr fontId="4" type="noConversion"/>
  </si>
  <si>
    <t>사업자
등록번호</t>
    <phoneticPr fontId="4" type="noConversion"/>
  </si>
  <si>
    <t>상호</t>
  </si>
  <si>
    <t>성
명</t>
    <phoneticPr fontId="4" type="noConversion"/>
  </si>
  <si>
    <t>(인)</t>
    <phoneticPr fontId="4" type="noConversion"/>
  </si>
  <si>
    <t>사업장
소재지</t>
    <phoneticPr fontId="4" type="noConversion"/>
  </si>
  <si>
    <t>업태</t>
  </si>
  <si>
    <t>종
목</t>
    <phoneticPr fontId="4" type="noConversion"/>
  </si>
  <si>
    <t>작성년월일</t>
  </si>
  <si>
    <t>공급대가 총액</t>
  </si>
  <si>
    <t>비고</t>
  </si>
  <si>
    <t>￦</t>
  </si>
  <si>
    <t>위 금액을 영수(청구)함.</t>
    <phoneticPr fontId="4" type="noConversion"/>
  </si>
  <si>
    <t>품목</t>
    <phoneticPr fontId="4" type="noConversion"/>
  </si>
  <si>
    <t>수량</t>
  </si>
  <si>
    <t>단가</t>
    <phoneticPr fontId="4" type="noConversion"/>
  </si>
  <si>
    <t>금 액</t>
    <phoneticPr fontId="4" type="noConversion"/>
  </si>
  <si>
    <t>단 가</t>
  </si>
  <si>
    <t>합  계</t>
  </si>
  <si>
    <t>123-45-67890</t>
    <phoneticPr fontId="4" type="noConversion"/>
  </si>
  <si>
    <t>오빠두엑셀</t>
    <phoneticPr fontId="4" type="noConversion"/>
  </si>
  <si>
    <t>오빠두</t>
    <phoneticPr fontId="4" type="noConversion"/>
  </si>
  <si>
    <t>서울시 강남구 테헤란로 오빠두빌딩</t>
    <phoneticPr fontId="3" type="noConversion"/>
  </si>
  <si>
    <t>전자상거래</t>
    <phoneticPr fontId="4" type="noConversion"/>
  </si>
  <si>
    <t>온라인교육</t>
    <phoneticPr fontId="4" type="noConversion"/>
  </si>
  <si>
    <t>영수증번호</t>
    <phoneticPr fontId="3" type="noConversion"/>
  </si>
  <si>
    <t>품목</t>
    <phoneticPr fontId="3" type="noConversion"/>
  </si>
  <si>
    <t>수량</t>
    <phoneticPr fontId="3" type="noConversion"/>
  </si>
  <si>
    <t>단가</t>
    <phoneticPr fontId="3" type="noConversion"/>
  </si>
  <si>
    <t>금액</t>
    <phoneticPr fontId="3" type="noConversion"/>
  </si>
  <si>
    <t>날짜</t>
    <phoneticPr fontId="3" type="noConversion"/>
  </si>
  <si>
    <t>20200601-001</t>
    <phoneticPr fontId="3" type="noConversion"/>
  </si>
  <si>
    <t>영수증고유값</t>
    <phoneticPr fontId="3" type="noConversion"/>
  </si>
  <si>
    <t>삼성 노트북</t>
    <phoneticPr fontId="3" type="noConversion"/>
  </si>
  <si>
    <t>LG 청소기</t>
    <phoneticPr fontId="3" type="noConversion"/>
  </si>
  <si>
    <t>LG 세탁기</t>
    <phoneticPr fontId="3" type="noConversion"/>
  </si>
  <si>
    <t>갤럭시 노트 11</t>
    <phoneticPr fontId="3" type="noConversion"/>
  </si>
  <si>
    <t>아이폰 SE</t>
    <phoneticPr fontId="3" type="noConversion"/>
  </si>
  <si>
    <t>로지텍 마우스</t>
    <phoneticPr fontId="3" type="noConversion"/>
  </si>
  <si>
    <t>로지텍 키보드</t>
    <phoneticPr fontId="3" type="noConversion"/>
  </si>
  <si>
    <t>20200601-002</t>
  </si>
  <si>
    <t>20200601-002</t>
    <phoneticPr fontId="3" type="noConversion"/>
  </si>
  <si>
    <t>LG 32인치 모니터</t>
    <phoneticPr fontId="3" type="noConversion"/>
  </si>
  <si>
    <t>MS 서피스 프로</t>
    <phoneticPr fontId="3" type="noConversion"/>
  </si>
  <si>
    <t>LG 무선마우스</t>
    <phoneticPr fontId="3" type="noConversion"/>
  </si>
  <si>
    <t>게이밍 조립PC</t>
    <phoneticPr fontId="3" type="noConversion"/>
  </si>
  <si>
    <t>구매자</t>
    <phoneticPr fontId="3" type="noConversion"/>
  </si>
  <si>
    <t>㈜ Naver</t>
    <phoneticPr fontId="3" type="noConversion"/>
  </si>
  <si>
    <t>㈜ 카카오 프렌즈</t>
    <phoneticPr fontId="3" type="noConversion"/>
  </si>
  <si>
    <t>No.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</si>
</sst>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yyyy&quot;.&quot;mm&quot;.&quot;dd;@"/>
    <numFmt numFmtId="177" formatCode="m&quot;/&quot;d;@"/>
    <numFmt numFmtId="179" formatCode="mm\/dd"/>
    <numFmt numFmtId="180" formatCode="#,##0;\-#,##0;\-;@"/>
    <numFmt numFmtId="181" formatCode="#,##0;\-#,###\9;\-;@"/>
    <numFmt numFmtId="183" formatCode="#,##0;\-#,##0;;@"/>
  </numFmts>
  <fonts count="21" x14ac:knownFonts="1">
    <font>
      <sz val="11"/>
      <color theme="1"/>
      <name val="맑은 고딕"/>
      <family val="2"/>
      <charset val="129"/>
      <scheme val="minor"/>
    </font>
    <font>
      <b/>
      <sz val="18"/>
      <color indexed="12"/>
      <name val="굴림"/>
      <family val="3"/>
      <charset val="129"/>
    </font>
    <font>
      <b/>
      <sz val="10"/>
      <color indexed="12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굴림"/>
      <family val="3"/>
      <charset val="129"/>
    </font>
    <font>
      <b/>
      <sz val="18"/>
      <color rgb="FFFF0000"/>
      <name val="굴림"/>
      <family val="3"/>
      <charset val="129"/>
    </font>
    <font>
      <b/>
      <sz val="10"/>
      <color rgb="FFFF0000"/>
      <name val="굴림"/>
      <family val="3"/>
      <charset val="129"/>
    </font>
    <font>
      <sz val="10"/>
      <color indexed="12"/>
      <name val="굴림"/>
      <family val="3"/>
      <charset val="129"/>
    </font>
    <font>
      <sz val="10"/>
      <color rgb="FFFF0000"/>
      <name val="굴림"/>
      <family val="3"/>
      <charset val="129"/>
    </font>
    <font>
      <sz val="9"/>
      <color indexed="12"/>
      <name val="굴림"/>
      <family val="3"/>
      <charset val="129"/>
    </font>
    <font>
      <sz val="9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u/>
      <sz val="9"/>
      <name val="맑은 고딕"/>
      <family val="3"/>
      <charset val="129"/>
      <scheme val="minor"/>
    </font>
    <font>
      <b/>
      <u val="singleAccounting"/>
      <sz val="9"/>
      <name val="맑은 고딕"/>
      <family val="3"/>
      <charset val="129"/>
      <scheme val="minor"/>
    </font>
    <font>
      <sz val="8"/>
      <color indexed="12"/>
      <name val="굴림"/>
      <family val="3"/>
      <charset val="129"/>
    </font>
    <font>
      <sz val="8"/>
      <color rgb="FFFF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8">
    <border>
      <left/>
      <right/>
      <top/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/>
      <right style="dotted">
        <color indexed="22"/>
      </right>
      <top/>
      <bottom/>
      <diagonal/>
    </border>
    <border>
      <left style="dotted">
        <color indexed="22"/>
      </left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/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/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/>
      <right style="thin">
        <color indexed="12"/>
      </right>
      <top style="medium">
        <color rgb="FFFF0000"/>
      </top>
      <bottom style="thin">
        <color rgb="FFFF0000"/>
      </bottom>
      <diagonal/>
    </border>
    <border>
      <left style="thin">
        <color indexed="12"/>
      </left>
      <right style="thin">
        <color indexed="12"/>
      </right>
      <top style="medium">
        <color rgb="FFFF0000"/>
      </top>
      <bottom style="thin">
        <color rgb="FFFF0000"/>
      </bottom>
      <diagonal/>
    </border>
    <border>
      <left style="thin">
        <color indexed="12"/>
      </left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indexed="12"/>
      </right>
      <top style="thin">
        <color rgb="FFFF0000"/>
      </top>
      <bottom style="thin">
        <color rgb="FFFF0000"/>
      </bottom>
      <diagonal/>
    </border>
    <border>
      <left style="thin">
        <color indexed="12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12"/>
      </left>
      <right style="thin">
        <color indexed="12"/>
      </right>
      <top style="thin">
        <color rgb="FFFF0000"/>
      </top>
      <bottom style="thin">
        <color rgb="FFFF0000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/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medium">
        <color indexed="12"/>
      </bottom>
      <diagonal/>
    </border>
    <border>
      <left/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/>
      <top style="thin">
        <color rgb="FFFF0000"/>
      </top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 style="medium">
        <color rgb="FFFF0000"/>
      </bottom>
      <diagonal/>
    </border>
    <border>
      <left/>
      <right style="medium">
        <color rgb="FFFF0000"/>
      </right>
      <top style="thin">
        <color rgb="FFFF0000"/>
      </top>
      <bottom style="medium">
        <color rgb="FFFF0000"/>
      </bottom>
      <diagonal/>
    </border>
    <border>
      <left style="medium">
        <color indexed="12"/>
      </left>
      <right style="hair">
        <color indexed="22"/>
      </right>
      <top style="medium">
        <color indexed="12"/>
      </top>
      <bottom style="hair">
        <color indexed="22"/>
      </bottom>
      <diagonal/>
    </border>
    <border>
      <left style="hair">
        <color indexed="22"/>
      </left>
      <right style="hair">
        <color indexed="22"/>
      </right>
      <top style="medium">
        <color indexed="12"/>
      </top>
      <bottom style="hair">
        <color indexed="22"/>
      </bottom>
      <diagonal/>
    </border>
    <border>
      <left style="hair">
        <color indexed="22"/>
      </left>
      <right style="medium">
        <color indexed="12"/>
      </right>
      <top style="medium">
        <color indexed="12"/>
      </top>
      <bottom style="hair">
        <color indexed="22"/>
      </bottom>
      <diagonal/>
    </border>
    <border>
      <left style="medium">
        <color rgb="FFFF0000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hair">
        <color indexed="22"/>
      </right>
      <top/>
      <bottom style="hair">
        <color indexed="22"/>
      </bottom>
      <diagonal/>
    </border>
    <border>
      <left style="hair">
        <color indexed="22"/>
      </left>
      <right style="medium">
        <color rgb="FFFF0000"/>
      </right>
      <top/>
      <bottom style="hair">
        <color indexed="22"/>
      </bottom>
      <diagonal/>
    </border>
    <border>
      <left style="medium">
        <color indexed="12"/>
      </left>
      <right style="hair">
        <color indexed="22"/>
      </right>
      <top style="hair">
        <color indexed="22"/>
      </top>
      <bottom style="medium">
        <color indexed="12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medium">
        <color indexed="12"/>
      </bottom>
      <diagonal/>
    </border>
    <border>
      <left style="hair">
        <color indexed="22"/>
      </left>
      <right/>
      <top style="hair">
        <color indexed="22"/>
      </top>
      <bottom style="medium">
        <color indexed="12"/>
      </bottom>
      <diagonal/>
    </border>
    <border>
      <left/>
      <right style="hair">
        <color indexed="22"/>
      </right>
      <top style="hair">
        <color indexed="22"/>
      </top>
      <bottom style="medium">
        <color indexed="12"/>
      </bottom>
      <diagonal/>
    </border>
    <border>
      <left style="hair">
        <color indexed="22"/>
      </left>
      <right style="medium">
        <color indexed="12"/>
      </right>
      <top style="hair">
        <color indexed="22"/>
      </top>
      <bottom style="medium">
        <color indexed="12"/>
      </bottom>
      <diagonal/>
    </border>
    <border>
      <left style="medium">
        <color rgb="FFFF0000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/>
      <diagonal/>
    </border>
    <border>
      <left style="hair">
        <color indexed="22"/>
      </left>
      <right/>
      <top style="hair">
        <color indexed="22"/>
      </top>
      <bottom/>
      <diagonal/>
    </border>
    <border>
      <left style="hair">
        <color indexed="22"/>
      </left>
      <right style="medium">
        <color rgb="FFFF0000"/>
      </right>
      <top style="hair">
        <color indexed="22"/>
      </top>
      <bottom/>
      <diagonal/>
    </border>
    <border>
      <left style="medium">
        <color indexed="12"/>
      </left>
      <right style="hair">
        <color indexed="22"/>
      </right>
      <top style="thin">
        <color indexed="12"/>
      </top>
      <bottom/>
      <diagonal/>
    </border>
    <border>
      <left style="hair">
        <color indexed="22"/>
      </left>
      <right style="hair">
        <color indexed="22"/>
      </right>
      <top style="thin">
        <color indexed="12"/>
      </top>
      <bottom/>
      <diagonal/>
    </border>
    <border>
      <left style="hair">
        <color indexed="22"/>
      </left>
      <right style="medium">
        <color indexed="12"/>
      </right>
      <top style="thin">
        <color indexed="12"/>
      </top>
      <bottom/>
      <diagonal/>
    </border>
    <border>
      <left style="medium">
        <color rgb="FFFF0000"/>
      </left>
      <right style="hair">
        <color indexed="22"/>
      </right>
      <top style="medium">
        <color rgb="FFFF0000"/>
      </top>
      <bottom/>
      <diagonal/>
    </border>
    <border>
      <left style="hair">
        <color indexed="22"/>
      </left>
      <right style="hair">
        <color indexed="22"/>
      </right>
      <top style="medium">
        <color rgb="FFFF0000"/>
      </top>
      <bottom/>
      <diagonal/>
    </border>
    <border>
      <left style="hair">
        <color indexed="22"/>
      </left>
      <right style="medium">
        <color rgb="FFFF0000"/>
      </right>
      <top style="medium">
        <color rgb="FFFF0000"/>
      </top>
      <bottom/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rgb="FFFF0000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 style="medium">
        <color rgb="FFFF0000"/>
      </left>
      <right style="thin">
        <color indexed="12"/>
      </right>
      <top/>
      <bottom style="medium">
        <color rgb="FFFF0000"/>
      </bottom>
      <diagonal/>
    </border>
    <border>
      <left style="thin">
        <color indexed="12"/>
      </left>
      <right/>
      <top/>
      <bottom style="medium">
        <color rgb="FFFF0000"/>
      </bottom>
      <diagonal/>
    </border>
    <border>
      <left style="thin">
        <color rgb="FFFF0000"/>
      </left>
      <right style="thin">
        <color indexed="12"/>
      </right>
      <top style="medium">
        <color rgb="FFFF0000"/>
      </top>
      <bottom style="medium">
        <color rgb="FFFF0000"/>
      </bottom>
      <diagonal/>
    </border>
    <border>
      <left style="thin">
        <color indexed="12"/>
      </left>
      <right style="thin">
        <color indexed="12"/>
      </right>
      <top style="medium">
        <color rgb="FFFF0000"/>
      </top>
      <bottom style="medium">
        <color rgb="FFFF0000"/>
      </bottom>
      <diagonal/>
    </border>
    <border>
      <left style="thin">
        <color indexed="12"/>
      </left>
      <right style="thin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12"/>
      </left>
      <right/>
      <top style="medium">
        <color indexed="12"/>
      </top>
      <bottom style="thin">
        <color indexed="12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/>
      <right/>
      <top style="medium">
        <color indexed="12"/>
      </top>
      <bottom style="thin">
        <color indexed="12"/>
      </bottom>
      <diagonal/>
    </border>
    <border>
      <left/>
      <right style="medium">
        <color indexed="12"/>
      </right>
      <top style="medium">
        <color indexed="12"/>
      </top>
      <bottom style="thin">
        <color indexed="12"/>
      </bottom>
      <diagonal/>
    </border>
    <border>
      <left/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medium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medium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medium">
        <color rgb="FFFF0000"/>
      </top>
      <bottom style="thin">
        <color rgb="FFFF0000"/>
      </bottom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medium">
        <color rgb="FFFF0000"/>
      </top>
      <bottom style="thin">
        <color rgb="FFFF0000"/>
      </bottom>
      <diagonal/>
    </border>
    <border>
      <left/>
      <right/>
      <top style="hair">
        <color indexed="22"/>
      </top>
      <bottom style="medium">
        <color rgb="FFFF0000"/>
      </bottom>
      <diagonal/>
    </border>
    <border>
      <left/>
      <right style="hair">
        <color indexed="22"/>
      </right>
      <top style="hair">
        <color indexed="22"/>
      </top>
      <bottom style="medium">
        <color rgb="FFFF0000"/>
      </bottom>
      <diagonal/>
    </border>
    <border>
      <left style="medium">
        <color indexed="12"/>
      </left>
      <right/>
      <top/>
      <bottom style="medium">
        <color indexed="12"/>
      </bottom>
      <diagonal/>
    </border>
    <border>
      <left style="medium">
        <color rgb="FFFF0000"/>
      </left>
      <right/>
      <top/>
      <bottom style="medium">
        <color rgb="FFFF0000"/>
      </bottom>
      <diagonal/>
    </border>
  </borders>
  <cellStyleXfs count="1">
    <xf numFmtId="0" fontId="0" fillId="0" borderId="0">
      <alignment vertical="center"/>
    </xf>
  </cellStyleXfs>
  <cellXfs count="274">
    <xf numFmtId="0" fontId="0" fillId="0" borderId="0" xfId="0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10" fillId="0" borderId="23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5" fillId="0" borderId="0" xfId="0" applyFont="1">
      <alignment vertical="center"/>
    </xf>
    <xf numFmtId="0" fontId="13" fillId="0" borderId="61" xfId="0" applyFont="1" applyBorder="1" applyAlignment="1">
      <alignment horizontal="center" vertical="center"/>
    </xf>
    <xf numFmtId="0" fontId="13" fillId="0" borderId="66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41" fontId="13" fillId="0" borderId="81" xfId="0" applyNumberFormat="1" applyFont="1" applyBorder="1">
      <alignment vertical="center"/>
    </xf>
    <xf numFmtId="0" fontId="13" fillId="0" borderId="0" xfId="0" applyFont="1" applyAlignment="1">
      <alignment horizontal="right" vertical="center"/>
    </xf>
    <xf numFmtId="0" fontId="0" fillId="0" borderId="9" xfId="0" applyBorder="1">
      <alignment vertical="center"/>
    </xf>
    <xf numFmtId="179" fontId="16" fillId="0" borderId="90" xfId="0" applyNumberFormat="1" applyFont="1" applyBorder="1" applyAlignment="1">
      <alignment horizontal="centerContinuous" vertical="center" shrinkToFit="1"/>
    </xf>
    <xf numFmtId="177" fontId="16" fillId="0" borderId="91" xfId="0" applyNumberFormat="1" applyFont="1" applyBorder="1" applyAlignment="1">
      <alignment horizontal="centerContinuous" vertical="center" shrinkToFit="1"/>
    </xf>
    <xf numFmtId="0" fontId="16" fillId="0" borderId="93" xfId="0" applyFont="1" applyBorder="1" applyAlignment="1">
      <alignment horizontal="centerContinuous" vertical="center" shrinkToFit="1"/>
    </xf>
    <xf numFmtId="0" fontId="16" fillId="0" borderId="94" xfId="0" applyFont="1" applyBorder="1" applyAlignment="1">
      <alignment horizontal="centerContinuous" vertical="center" shrinkToFit="1"/>
    </xf>
    <xf numFmtId="0" fontId="16" fillId="0" borderId="91" xfId="0" applyFont="1" applyBorder="1" applyAlignment="1">
      <alignment horizontal="centerContinuous" vertical="center" shrinkToFit="1"/>
    </xf>
    <xf numFmtId="0" fontId="16" fillId="0" borderId="93" xfId="0" applyFont="1" applyBorder="1" applyAlignment="1">
      <alignment horizontal="centerContinuous" vertical="center"/>
    </xf>
    <xf numFmtId="0" fontId="16" fillId="0" borderId="91" xfId="0" applyFont="1" applyBorder="1" applyAlignment="1">
      <alignment horizontal="centerContinuous" vertical="center"/>
    </xf>
    <xf numFmtId="41" fontId="16" fillId="0" borderId="93" xfId="0" applyNumberFormat="1" applyFont="1" applyBorder="1">
      <alignment vertical="center"/>
    </xf>
    <xf numFmtId="41" fontId="16" fillId="0" borderId="94" xfId="0" applyNumberFormat="1" applyFont="1" applyBorder="1">
      <alignment vertical="center"/>
    </xf>
    <xf numFmtId="0" fontId="16" fillId="0" borderId="91" xfId="0" applyFont="1" applyBorder="1" applyAlignment="1">
      <alignment horizontal="right" vertical="center"/>
    </xf>
    <xf numFmtId="0" fontId="16" fillId="0" borderId="95" xfId="0" applyFont="1" applyBorder="1" applyAlignment="1">
      <alignment horizontal="right" vertical="center"/>
    </xf>
    <xf numFmtId="179" fontId="16" fillId="0" borderId="25" xfId="0" applyNumberFormat="1" applyFont="1" applyBorder="1" applyAlignment="1">
      <alignment horizontal="centerContinuous" vertical="center" shrinkToFit="1"/>
    </xf>
    <xf numFmtId="177" fontId="16" fillId="0" borderId="28" xfId="0" applyNumberFormat="1" applyFont="1" applyBorder="1" applyAlignment="1">
      <alignment horizontal="centerContinuous" vertical="center" shrinkToFit="1"/>
    </xf>
    <xf numFmtId="0" fontId="16" fillId="0" borderId="27" xfId="0" applyFont="1" applyBorder="1" applyAlignment="1">
      <alignment horizontal="centerContinuous" vertical="center" shrinkToFit="1"/>
    </xf>
    <xf numFmtId="0" fontId="16" fillId="0" borderId="26" xfId="0" applyFont="1" applyBorder="1" applyAlignment="1">
      <alignment horizontal="centerContinuous" vertical="center" shrinkToFit="1"/>
    </xf>
    <xf numFmtId="0" fontId="16" fillId="0" borderId="28" xfId="0" applyFont="1" applyBorder="1" applyAlignment="1">
      <alignment horizontal="centerContinuous" vertical="center" shrinkToFit="1"/>
    </xf>
    <xf numFmtId="0" fontId="16" fillId="0" borderId="27" xfId="0" applyFont="1" applyBorder="1" applyAlignment="1">
      <alignment horizontal="centerContinuous" vertical="center"/>
    </xf>
    <xf numFmtId="0" fontId="16" fillId="0" borderId="28" xfId="0" applyFont="1" applyBorder="1" applyAlignment="1">
      <alignment horizontal="centerContinuous" vertical="center"/>
    </xf>
    <xf numFmtId="41" fontId="16" fillId="0" borderId="27" xfId="0" applyNumberFormat="1" applyFont="1" applyBorder="1">
      <alignment vertical="center"/>
    </xf>
    <xf numFmtId="41" fontId="16" fillId="0" borderId="26" xfId="0" applyNumberFormat="1" applyFont="1" applyBorder="1">
      <alignment vertical="center"/>
    </xf>
    <xf numFmtId="0" fontId="16" fillId="0" borderId="28" xfId="0" applyFont="1" applyBorder="1" applyAlignment="1">
      <alignment horizontal="right" vertical="center"/>
    </xf>
    <xf numFmtId="0" fontId="16" fillId="0" borderId="96" xfId="0" applyFont="1" applyBorder="1" applyAlignment="1">
      <alignment horizontal="right" vertical="center"/>
    </xf>
    <xf numFmtId="179" fontId="16" fillId="0" borderId="42" xfId="0" applyNumberFormat="1" applyFont="1" applyBorder="1" applyAlignment="1">
      <alignment horizontal="centerContinuous" vertical="center" shrinkToFit="1"/>
    </xf>
    <xf numFmtId="177" fontId="16" fillId="0" borderId="92" xfId="0" applyNumberFormat="1" applyFont="1" applyBorder="1" applyAlignment="1">
      <alignment horizontal="centerContinuous" vertical="center" shrinkToFit="1"/>
    </xf>
    <xf numFmtId="0" fontId="16" fillId="0" borderId="44" xfId="0" applyFont="1" applyBorder="1" applyAlignment="1">
      <alignment horizontal="centerContinuous" vertical="center" shrinkToFit="1"/>
    </xf>
    <xf numFmtId="0" fontId="16" fillId="0" borderId="43" xfId="0" applyFont="1" applyBorder="1" applyAlignment="1">
      <alignment horizontal="centerContinuous" vertical="center" shrinkToFit="1"/>
    </xf>
    <xf numFmtId="0" fontId="16" fillId="0" borderId="92" xfId="0" applyFont="1" applyBorder="1" applyAlignment="1">
      <alignment horizontal="centerContinuous" vertical="center" shrinkToFit="1"/>
    </xf>
    <xf numFmtId="0" fontId="16" fillId="0" borderId="44" xfId="0" applyFont="1" applyBorder="1" applyAlignment="1">
      <alignment horizontal="centerContinuous" vertical="center"/>
    </xf>
    <xf numFmtId="0" fontId="16" fillId="0" borderId="92" xfId="0" applyFont="1" applyBorder="1" applyAlignment="1">
      <alignment horizontal="centerContinuous" vertical="center"/>
    </xf>
    <xf numFmtId="41" fontId="16" fillId="0" borderId="44" xfId="0" applyNumberFormat="1" applyFont="1" applyBorder="1">
      <alignment vertical="center"/>
    </xf>
    <xf numFmtId="41" fontId="16" fillId="0" borderId="43" xfId="0" applyNumberFormat="1" applyFont="1" applyBorder="1">
      <alignment vertical="center"/>
    </xf>
    <xf numFmtId="0" fontId="16" fillId="0" borderId="92" xfId="0" applyFont="1" applyBorder="1" applyAlignment="1">
      <alignment horizontal="right" vertical="center"/>
    </xf>
    <xf numFmtId="0" fontId="16" fillId="0" borderId="45" xfId="0" applyFont="1" applyBorder="1" applyAlignment="1">
      <alignment horizontal="right" vertical="center"/>
    </xf>
    <xf numFmtId="0" fontId="17" fillId="0" borderId="82" xfId="0" applyFont="1" applyBorder="1" applyAlignment="1">
      <alignment horizontal="right" vertical="center"/>
    </xf>
    <xf numFmtId="0" fontId="18" fillId="0" borderId="88" xfId="0" applyFont="1" applyBorder="1">
      <alignment vertical="center"/>
    </xf>
    <xf numFmtId="0" fontId="18" fillId="0" borderId="88" xfId="0" applyFont="1" applyBorder="1" applyAlignment="1"/>
    <xf numFmtId="0" fontId="17" fillId="0" borderId="89" xfId="0" applyFont="1" applyBorder="1" applyAlignment="1">
      <alignment horizontal="right" vertical="center"/>
    </xf>
    <xf numFmtId="41" fontId="16" fillId="0" borderId="100" xfId="0" applyNumberFormat="1" applyFont="1" applyBorder="1">
      <alignment vertical="center"/>
    </xf>
    <xf numFmtId="41" fontId="16" fillId="0" borderId="33" xfId="0" applyNumberFormat="1" applyFont="1" applyBorder="1">
      <alignment vertical="center"/>
    </xf>
    <xf numFmtId="41" fontId="16" fillId="0" borderId="50" xfId="0" applyNumberFormat="1" applyFont="1" applyBorder="1">
      <alignment vertical="center"/>
    </xf>
    <xf numFmtId="41" fontId="16" fillId="0" borderId="100" xfId="0" applyNumberFormat="1" applyFont="1" applyBorder="1" applyAlignment="1">
      <alignment horizontal="right" vertical="center"/>
    </xf>
    <xf numFmtId="41" fontId="16" fillId="0" borderId="101" xfId="0" applyNumberFormat="1" applyFont="1" applyBorder="1" applyAlignment="1">
      <alignment horizontal="right" vertical="center"/>
    </xf>
    <xf numFmtId="41" fontId="16" fillId="0" borderId="33" xfId="0" applyNumberFormat="1" applyFont="1" applyBorder="1" applyAlignment="1">
      <alignment horizontal="right" vertical="center"/>
    </xf>
    <xf numFmtId="41" fontId="16" fillId="0" borderId="102" xfId="0" applyNumberFormat="1" applyFont="1" applyBorder="1" applyAlignment="1">
      <alignment horizontal="right" vertical="center"/>
    </xf>
    <xf numFmtId="41" fontId="16" fillId="0" borderId="50" xfId="0" applyNumberFormat="1" applyFont="1" applyBorder="1" applyAlignment="1">
      <alignment horizontal="right" vertical="center"/>
    </xf>
    <xf numFmtId="41" fontId="16" fillId="0" borderId="52" xfId="0" applyNumberFormat="1" applyFont="1" applyBorder="1" applyAlignment="1">
      <alignment horizontal="right" vertical="center"/>
    </xf>
    <xf numFmtId="41" fontId="16" fillId="0" borderId="103" xfId="0" applyNumberFormat="1" applyFont="1" applyBorder="1">
      <alignment vertical="center"/>
    </xf>
    <xf numFmtId="41" fontId="16" fillId="0" borderId="98" xfId="0" applyNumberFormat="1" applyFont="1" applyBorder="1" applyAlignment="1">
      <alignment horizontal="right" vertical="center"/>
    </xf>
    <xf numFmtId="41" fontId="16" fillId="0" borderId="34" xfId="0" applyNumberFormat="1" applyFont="1" applyBorder="1">
      <alignment vertical="center"/>
    </xf>
    <xf numFmtId="41" fontId="16" fillId="0" borderId="35" xfId="0" applyNumberFormat="1" applyFont="1" applyBorder="1" applyAlignment="1">
      <alignment horizontal="right" vertical="center"/>
    </xf>
    <xf numFmtId="41" fontId="16" fillId="0" borderId="51" xfId="0" applyNumberFormat="1" applyFont="1" applyBorder="1">
      <alignment vertical="center"/>
    </xf>
    <xf numFmtId="41" fontId="16" fillId="0" borderId="99" xfId="0" applyNumberFormat="1" applyFont="1" applyBorder="1" applyAlignment="1">
      <alignment horizontal="right" vertical="center"/>
    </xf>
    <xf numFmtId="177" fontId="16" fillId="0" borderId="97" xfId="0" applyNumberFormat="1" applyFont="1" applyBorder="1" applyAlignment="1">
      <alignment horizontal="centerContinuous" vertical="center"/>
    </xf>
    <xf numFmtId="177" fontId="16" fillId="0" borderId="100" xfId="0" applyNumberFormat="1" applyFont="1" applyBorder="1" applyAlignment="1">
      <alignment horizontal="centerContinuous" vertical="center"/>
    </xf>
    <xf numFmtId="177" fontId="16" fillId="0" borderId="32" xfId="0" applyNumberFormat="1" applyFont="1" applyBorder="1" applyAlignment="1">
      <alignment horizontal="centerContinuous" vertical="center"/>
    </xf>
    <xf numFmtId="177" fontId="16" fillId="0" borderId="33" xfId="0" applyNumberFormat="1" applyFont="1" applyBorder="1" applyAlignment="1">
      <alignment horizontal="centerContinuous" vertical="center"/>
    </xf>
    <xf numFmtId="177" fontId="16" fillId="0" borderId="49" xfId="0" applyNumberFormat="1" applyFont="1" applyBorder="1" applyAlignment="1">
      <alignment horizontal="centerContinuous" vertical="center"/>
    </xf>
    <xf numFmtId="177" fontId="16" fillId="0" borderId="50" xfId="0" applyNumberFormat="1" applyFont="1" applyBorder="1" applyAlignment="1">
      <alignment horizontal="centerContinuous" vertical="center"/>
    </xf>
    <xf numFmtId="0" fontId="16" fillId="0" borderId="103" xfId="0" applyFont="1" applyBorder="1" applyAlignment="1">
      <alignment horizontal="centerContinuous" vertical="center"/>
    </xf>
    <xf numFmtId="0" fontId="16" fillId="0" borderId="100" xfId="0" applyFont="1" applyBorder="1" applyAlignment="1">
      <alignment horizontal="centerContinuous" vertical="center"/>
    </xf>
    <xf numFmtId="0" fontId="16" fillId="0" borderId="98" xfId="0" applyFont="1" applyBorder="1" applyAlignment="1">
      <alignment horizontal="centerContinuous" vertical="center"/>
    </xf>
    <xf numFmtId="0" fontId="16" fillId="0" borderId="34" xfId="0" applyFont="1" applyBorder="1" applyAlignment="1">
      <alignment horizontal="centerContinuous" vertical="center"/>
    </xf>
    <xf numFmtId="0" fontId="16" fillId="0" borderId="33" xfId="0" applyFont="1" applyBorder="1" applyAlignment="1">
      <alignment horizontal="centerContinuous" vertical="center"/>
    </xf>
    <xf numFmtId="0" fontId="16" fillId="0" borderId="35" xfId="0" applyFont="1" applyBorder="1" applyAlignment="1">
      <alignment horizontal="centerContinuous" vertical="center"/>
    </xf>
    <xf numFmtId="0" fontId="16" fillId="0" borderId="51" xfId="0" applyFont="1" applyBorder="1" applyAlignment="1">
      <alignment horizontal="centerContinuous" vertical="center"/>
    </xf>
    <xf numFmtId="0" fontId="16" fillId="0" borderId="50" xfId="0" applyFont="1" applyBorder="1" applyAlignment="1">
      <alignment horizontal="centerContinuous" vertical="center"/>
    </xf>
    <xf numFmtId="0" fontId="16" fillId="0" borderId="99" xfId="0" applyFont="1" applyBorder="1" applyAlignment="1">
      <alignment horizontal="centerContinuous" vertical="center"/>
    </xf>
    <xf numFmtId="0" fontId="19" fillId="0" borderId="106" xfId="0" applyFont="1" applyBorder="1" applyAlignment="1">
      <alignment horizontal="left" vertical="center"/>
    </xf>
    <xf numFmtId="0" fontId="20" fillId="0" borderId="107" xfId="0" applyFont="1" applyBorder="1" applyAlignment="1">
      <alignment horizontal="left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indent="1"/>
    </xf>
    <xf numFmtId="0" fontId="9" fillId="0" borderId="11" xfId="0" applyFont="1" applyBorder="1" applyAlignment="1">
      <alignment horizontal="left" vertical="center" indent="1"/>
    </xf>
    <xf numFmtId="0" fontId="13" fillId="0" borderId="51" xfId="0" applyFont="1" applyBorder="1" applyAlignment="1">
      <alignment horizontal="center" vertical="center"/>
    </xf>
    <xf numFmtId="0" fontId="13" fillId="0" borderId="50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3" fillId="0" borderId="49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58" xfId="0" applyFont="1" applyBorder="1" applyAlignment="1">
      <alignment horizontal="center" vertical="center"/>
    </xf>
    <xf numFmtId="176" fontId="13" fillId="0" borderId="59" xfId="0" applyNumberFormat="1" applyFont="1" applyBorder="1" applyAlignment="1">
      <alignment horizontal="center" vertical="center"/>
    </xf>
    <xf numFmtId="176" fontId="13" fillId="0" borderId="60" xfId="0" applyNumberFormat="1" applyFont="1" applyBorder="1" applyAlignment="1">
      <alignment horizontal="center" vertical="center"/>
    </xf>
    <xf numFmtId="41" fontId="13" fillId="0" borderId="62" xfId="0" applyNumberFormat="1" applyFont="1" applyBorder="1" applyAlignment="1">
      <alignment horizontal="right" vertical="center"/>
    </xf>
    <xf numFmtId="41" fontId="13" fillId="0" borderId="60" xfId="0" applyNumberFormat="1" applyFont="1" applyBorder="1" applyAlignment="1">
      <alignment horizontal="right" vertical="center"/>
    </xf>
    <xf numFmtId="0" fontId="13" fillId="0" borderId="60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176" fontId="13" fillId="0" borderId="64" xfId="0" applyNumberFormat="1" applyFont="1" applyBorder="1" applyAlignment="1">
      <alignment horizontal="center" vertical="center"/>
    </xf>
    <xf numFmtId="176" fontId="13" fillId="0" borderId="65" xfId="0" applyNumberFormat="1" applyFont="1" applyBorder="1" applyAlignment="1">
      <alignment horizontal="center" vertical="center"/>
    </xf>
    <xf numFmtId="41" fontId="13" fillId="0" borderId="104" xfId="0" applyNumberFormat="1" applyFont="1" applyBorder="1" applyAlignment="1">
      <alignment horizontal="right" vertical="center"/>
    </xf>
    <xf numFmtId="41" fontId="13" fillId="0" borderId="105" xfId="0" applyNumberFormat="1" applyFont="1" applyBorder="1" applyAlignment="1">
      <alignment horizontal="right" vertical="center"/>
    </xf>
    <xf numFmtId="0" fontId="14" fillId="0" borderId="65" xfId="0" applyFont="1" applyBorder="1" applyAlignment="1">
      <alignment horizontal="center" vertical="center"/>
    </xf>
    <xf numFmtId="0" fontId="14" fillId="0" borderId="67" xfId="0" applyFont="1" applyBorder="1" applyAlignment="1">
      <alignment horizontal="center" vertical="center"/>
    </xf>
    <xf numFmtId="0" fontId="10" fillId="0" borderId="53" xfId="0" applyFont="1" applyBorder="1" applyAlignment="1">
      <alignment horizontal="center" vertical="center"/>
    </xf>
    <xf numFmtId="0" fontId="10" fillId="0" borderId="54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2" fillId="0" borderId="56" xfId="0" applyFont="1" applyBorder="1" applyAlignment="1">
      <alignment horizontal="center" vertical="center"/>
    </xf>
    <xf numFmtId="0" fontId="12" fillId="0" borderId="78" xfId="0" applyFont="1" applyBorder="1" applyAlignment="1">
      <alignment horizontal="center" vertical="center"/>
    </xf>
    <xf numFmtId="0" fontId="12" fillId="0" borderId="79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2" fillId="0" borderId="72" xfId="0" applyFont="1" applyBorder="1" applyAlignment="1">
      <alignment horizontal="center" vertical="center"/>
    </xf>
    <xf numFmtId="0" fontId="12" fillId="0" borderId="73" xfId="0" applyFont="1" applyBorder="1" applyAlignment="1">
      <alignment horizontal="center" vertical="center"/>
    </xf>
    <xf numFmtId="0" fontId="10" fillId="0" borderId="74" xfId="0" applyFont="1" applyBorder="1" applyAlignment="1">
      <alignment horizontal="center" vertical="center"/>
    </xf>
    <xf numFmtId="0" fontId="10" fillId="0" borderId="75" xfId="0" applyFont="1" applyBorder="1" applyAlignment="1">
      <alignment horizontal="center" vertical="center"/>
    </xf>
    <xf numFmtId="0" fontId="10" fillId="0" borderId="76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13" fillId="0" borderId="75" xfId="0" applyFont="1" applyBorder="1" applyAlignment="1">
      <alignment horizontal="center" vertical="center"/>
    </xf>
    <xf numFmtId="0" fontId="10" fillId="0" borderId="75" xfId="0" applyFont="1" applyBorder="1" applyAlignment="1">
      <alignment horizontal="distributed" vertical="center" indent="1"/>
    </xf>
    <xf numFmtId="0" fontId="13" fillId="0" borderId="83" xfId="0" applyFont="1" applyBorder="1" applyAlignment="1">
      <alignment horizontal="center" vertical="center"/>
    </xf>
    <xf numFmtId="0" fontId="13" fillId="0" borderId="84" xfId="0" applyFont="1" applyBorder="1" applyAlignment="1">
      <alignment horizontal="center" vertical="center"/>
    </xf>
    <xf numFmtId="0" fontId="12" fillId="0" borderId="85" xfId="0" applyFont="1" applyBorder="1" applyAlignment="1">
      <alignment horizontal="distributed" vertical="center" indent="1"/>
    </xf>
    <xf numFmtId="0" fontId="12" fillId="0" borderId="86" xfId="0" applyFont="1" applyBorder="1" applyAlignment="1">
      <alignment horizontal="distributed" vertical="center" indent="1"/>
    </xf>
    <xf numFmtId="0" fontId="12" fillId="0" borderId="87" xfId="0" applyFont="1" applyBorder="1" applyAlignment="1">
      <alignment horizontal="distributed" vertical="center" indent="1"/>
    </xf>
    <xf numFmtId="3" fontId="15" fillId="0" borderId="0" xfId="0" applyNumberFormat="1" applyFont="1">
      <alignment vertical="center"/>
    </xf>
    <xf numFmtId="3" fontId="0" fillId="0" borderId="0" xfId="0" applyNumberFormat="1">
      <alignment vertical="center"/>
    </xf>
    <xf numFmtId="0" fontId="15" fillId="0" borderId="0" xfId="0" applyFont="1" applyAlignment="1">
      <alignment horizontal="center" vertical="center"/>
    </xf>
    <xf numFmtId="14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1" fontId="16" fillId="0" borderId="93" xfId="0" applyNumberFormat="1" applyFont="1" applyBorder="1">
      <alignment vertical="center"/>
    </xf>
    <xf numFmtId="41" fontId="16" fillId="0" borderId="94" xfId="0" applyNumberFormat="1" applyFont="1" applyBorder="1">
      <alignment vertical="center"/>
    </xf>
    <xf numFmtId="41" fontId="16" fillId="0" borderId="95" xfId="0" applyNumberFormat="1" applyFont="1" applyBorder="1">
      <alignment vertical="center"/>
    </xf>
    <xf numFmtId="41" fontId="16" fillId="0" borderId="27" xfId="0" applyNumberFormat="1" applyFont="1" applyBorder="1">
      <alignment vertical="center"/>
    </xf>
    <xf numFmtId="41" fontId="16" fillId="0" borderId="26" xfId="0" applyNumberFormat="1" applyFont="1" applyBorder="1">
      <alignment vertical="center"/>
    </xf>
    <xf numFmtId="41" fontId="16" fillId="0" borderId="96" xfId="0" applyNumberFormat="1" applyFont="1" applyBorder="1">
      <alignment vertical="center"/>
    </xf>
    <xf numFmtId="41" fontId="16" fillId="0" borderId="44" xfId="0" applyNumberFormat="1" applyFont="1" applyBorder="1">
      <alignment vertical="center"/>
    </xf>
    <xf numFmtId="41" fontId="16" fillId="0" borderId="43" xfId="0" applyNumberFormat="1" applyFont="1" applyBorder="1">
      <alignment vertical="center"/>
    </xf>
    <xf numFmtId="41" fontId="16" fillId="0" borderId="45" xfId="0" applyNumberFormat="1" applyFont="1" applyBorder="1">
      <alignment vertical="center"/>
    </xf>
    <xf numFmtId="41" fontId="16" fillId="0" borderId="91" xfId="0" applyNumberFormat="1" applyFont="1" applyBorder="1">
      <alignment vertical="center"/>
    </xf>
    <xf numFmtId="41" fontId="16" fillId="0" borderId="28" xfId="0" applyNumberFormat="1" applyFont="1" applyBorder="1">
      <alignment vertical="center"/>
    </xf>
    <xf numFmtId="41" fontId="16" fillId="0" borderId="92" xfId="0" applyNumberFormat="1" applyFont="1" applyBorder="1">
      <alignment vertical="center"/>
    </xf>
    <xf numFmtId="0" fontId="16" fillId="0" borderId="93" xfId="0" applyFont="1" applyBorder="1" applyAlignment="1">
      <alignment horizontal="center" vertical="center"/>
    </xf>
    <xf numFmtId="0" fontId="16" fillId="0" borderId="91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92" xfId="0" applyFont="1" applyBorder="1" applyAlignment="1">
      <alignment horizontal="center" vertical="center"/>
    </xf>
    <xf numFmtId="0" fontId="16" fillId="0" borderId="93" xfId="0" applyFont="1" applyBorder="1" applyAlignment="1">
      <alignment horizontal="center" vertical="center" shrinkToFit="1"/>
    </xf>
    <xf numFmtId="0" fontId="16" fillId="0" borderId="94" xfId="0" applyFont="1" applyBorder="1" applyAlignment="1">
      <alignment horizontal="center" vertical="center" shrinkToFit="1"/>
    </xf>
    <xf numFmtId="0" fontId="16" fillId="0" borderId="91" xfId="0" applyFont="1" applyBorder="1" applyAlignment="1">
      <alignment horizontal="center" vertical="center" shrinkToFit="1"/>
    </xf>
    <xf numFmtId="0" fontId="16" fillId="0" borderId="27" xfId="0" applyFont="1" applyBorder="1" applyAlignment="1">
      <alignment horizontal="center" vertical="center" shrinkToFit="1"/>
    </xf>
    <xf numFmtId="0" fontId="16" fillId="0" borderId="26" xfId="0" applyFont="1" applyBorder="1" applyAlignment="1">
      <alignment horizontal="center" vertical="center" shrinkToFit="1"/>
    </xf>
    <xf numFmtId="0" fontId="16" fillId="0" borderId="28" xfId="0" applyFont="1" applyBorder="1" applyAlignment="1">
      <alignment horizontal="center" vertical="center" shrinkToFit="1"/>
    </xf>
    <xf numFmtId="0" fontId="16" fillId="0" borderId="44" xfId="0" applyFont="1" applyBorder="1" applyAlignment="1">
      <alignment horizontal="center" vertical="center" shrinkToFit="1"/>
    </xf>
    <xf numFmtId="0" fontId="16" fillId="0" borderId="43" xfId="0" applyFont="1" applyBorder="1" applyAlignment="1">
      <alignment horizontal="center" vertical="center" shrinkToFit="1"/>
    </xf>
    <xf numFmtId="0" fontId="16" fillId="0" borderId="92" xfId="0" applyFont="1" applyBorder="1" applyAlignment="1">
      <alignment horizontal="center" vertical="center" shrinkToFit="1"/>
    </xf>
    <xf numFmtId="179" fontId="16" fillId="0" borderId="90" xfId="0" applyNumberFormat="1" applyFont="1" applyBorder="1" applyAlignment="1">
      <alignment horizontal="center" vertical="center" shrinkToFit="1"/>
    </xf>
    <xf numFmtId="179" fontId="16" fillId="0" borderId="91" xfId="0" applyNumberFormat="1" applyFont="1" applyBorder="1" applyAlignment="1">
      <alignment horizontal="center" vertical="center" shrinkToFit="1"/>
    </xf>
    <xf numFmtId="179" fontId="16" fillId="0" borderId="25" xfId="0" applyNumberFormat="1" applyFont="1" applyBorder="1" applyAlignment="1">
      <alignment horizontal="center" vertical="center" shrinkToFit="1"/>
    </xf>
    <xf numFmtId="179" fontId="16" fillId="0" borderId="28" xfId="0" applyNumberFormat="1" applyFont="1" applyBorder="1" applyAlignment="1">
      <alignment horizontal="center" vertical="center" shrinkToFit="1"/>
    </xf>
    <xf numFmtId="179" fontId="16" fillId="0" borderId="42" xfId="0" applyNumberFormat="1" applyFont="1" applyBorder="1" applyAlignment="1">
      <alignment horizontal="center" vertical="center" shrinkToFit="1"/>
    </xf>
    <xf numFmtId="179" fontId="16" fillId="0" borderId="92" xfId="0" applyNumberFormat="1" applyFont="1" applyBorder="1" applyAlignment="1">
      <alignment horizontal="center" vertical="center" shrinkToFit="1"/>
    </xf>
    <xf numFmtId="177" fontId="16" fillId="0" borderId="97" xfId="0" applyNumberFormat="1" applyFont="1" applyBorder="1" applyAlignment="1">
      <alignment horizontal="center" vertical="center"/>
    </xf>
    <xf numFmtId="177" fontId="16" fillId="0" borderId="98" xfId="0" applyNumberFormat="1" applyFont="1" applyBorder="1" applyAlignment="1">
      <alignment horizontal="center" vertical="center"/>
    </xf>
    <xf numFmtId="177" fontId="16" fillId="0" borderId="32" xfId="0" applyNumberFormat="1" applyFont="1" applyBorder="1" applyAlignment="1">
      <alignment horizontal="center" vertical="center"/>
    </xf>
    <xf numFmtId="177" fontId="16" fillId="0" borderId="35" xfId="0" applyNumberFormat="1" applyFont="1" applyBorder="1" applyAlignment="1">
      <alignment horizontal="center" vertical="center"/>
    </xf>
    <xf numFmtId="177" fontId="16" fillId="0" borderId="49" xfId="0" applyNumberFormat="1" applyFont="1" applyBorder="1" applyAlignment="1">
      <alignment horizontal="center" vertical="center"/>
    </xf>
    <xf numFmtId="177" fontId="16" fillId="0" borderId="99" xfId="0" applyNumberFormat="1" applyFont="1" applyBorder="1" applyAlignment="1">
      <alignment horizontal="center" vertical="center"/>
    </xf>
    <xf numFmtId="0" fontId="16" fillId="0" borderId="103" xfId="0" applyFont="1" applyBorder="1" applyAlignment="1">
      <alignment horizontal="center" vertical="center"/>
    </xf>
    <xf numFmtId="0" fontId="16" fillId="0" borderId="100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16" fillId="0" borderId="51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180" fontId="17" fillId="0" borderId="88" xfId="0" applyNumberFormat="1" applyFont="1" applyBorder="1" applyAlignment="1">
      <alignment horizontal="right" vertical="center"/>
    </xf>
    <xf numFmtId="180" fontId="17" fillId="0" borderId="89" xfId="0" applyNumberFormat="1" applyFont="1" applyBorder="1" applyAlignment="1">
      <alignment horizontal="right" vertical="center"/>
    </xf>
    <xf numFmtId="181" fontId="17" fillId="0" borderId="81" xfId="0" applyNumberFormat="1" applyFont="1" applyBorder="1" applyAlignment="1">
      <alignment horizontal="right" vertical="center"/>
    </xf>
    <xf numFmtId="181" fontId="17" fillId="0" borderId="82" xfId="0" applyNumberFormat="1" applyFont="1" applyBorder="1" applyAlignment="1">
      <alignment horizontal="right" vertical="center"/>
    </xf>
    <xf numFmtId="0" fontId="8" fillId="2" borderId="9" xfId="0" applyFont="1" applyFill="1" applyBorder="1" applyAlignment="1">
      <alignment vertical="center"/>
    </xf>
    <xf numFmtId="0" fontId="8" fillId="0" borderId="9" xfId="0" applyFont="1" applyBorder="1" applyAlignment="1">
      <alignment horizontal="center" vertical="center"/>
    </xf>
    <xf numFmtId="183" fontId="16" fillId="0" borderId="103" xfId="0" applyNumberFormat="1" applyFont="1" applyBorder="1" applyAlignment="1">
      <alignment horizontal="center" vertical="center"/>
    </xf>
    <xf numFmtId="183" fontId="16" fillId="0" borderId="98" xfId="0" applyNumberFormat="1" applyFont="1" applyBorder="1" applyAlignment="1">
      <alignment horizontal="center" vertical="center"/>
    </xf>
    <xf numFmtId="183" fontId="16" fillId="0" borderId="103" xfId="0" applyNumberFormat="1" applyFont="1" applyBorder="1" applyAlignment="1">
      <alignment horizontal="right" vertical="center"/>
    </xf>
    <xf numFmtId="183" fontId="16" fillId="0" borderId="100" xfId="0" applyNumberFormat="1" applyFont="1" applyBorder="1" applyAlignment="1">
      <alignment horizontal="right" vertical="center"/>
    </xf>
    <xf numFmtId="183" fontId="16" fillId="0" borderId="98" xfId="0" applyNumberFormat="1" applyFont="1" applyBorder="1" applyAlignment="1">
      <alignment horizontal="right" vertical="center"/>
    </xf>
    <xf numFmtId="183" fontId="16" fillId="0" borderId="34" xfId="0" applyNumberFormat="1" applyFont="1" applyBorder="1" applyAlignment="1">
      <alignment horizontal="center" vertical="center"/>
    </xf>
    <xf numFmtId="183" fontId="16" fillId="0" borderId="35" xfId="0" applyNumberFormat="1" applyFont="1" applyBorder="1" applyAlignment="1">
      <alignment horizontal="center" vertical="center"/>
    </xf>
    <xf numFmtId="183" fontId="16" fillId="0" borderId="34" xfId="0" applyNumberFormat="1" applyFont="1" applyBorder="1" applyAlignment="1">
      <alignment horizontal="right" vertical="center"/>
    </xf>
    <xf numFmtId="183" fontId="16" fillId="0" borderId="33" xfId="0" applyNumberFormat="1" applyFont="1" applyBorder="1" applyAlignment="1">
      <alignment horizontal="right" vertical="center"/>
    </xf>
    <xf numFmtId="183" fontId="16" fillId="0" borderId="35" xfId="0" applyNumberFormat="1" applyFont="1" applyBorder="1" applyAlignment="1">
      <alignment horizontal="right" vertical="center"/>
    </xf>
    <xf numFmtId="183" fontId="16" fillId="0" borderId="51" xfId="0" applyNumberFormat="1" applyFont="1" applyBorder="1" applyAlignment="1">
      <alignment horizontal="center" vertical="center"/>
    </xf>
    <xf numFmtId="183" fontId="16" fillId="0" borderId="99" xfId="0" applyNumberFormat="1" applyFont="1" applyBorder="1" applyAlignment="1">
      <alignment horizontal="center" vertical="center"/>
    </xf>
    <xf numFmtId="183" fontId="16" fillId="0" borderId="51" xfId="0" applyNumberFormat="1" applyFont="1" applyBorder="1" applyAlignment="1">
      <alignment horizontal="right" vertical="center"/>
    </xf>
    <xf numFmtId="183" fontId="16" fillId="0" borderId="50" xfId="0" applyNumberFormat="1" applyFont="1" applyBorder="1" applyAlignment="1">
      <alignment horizontal="right" vertical="center"/>
    </xf>
    <xf numFmtId="183" fontId="16" fillId="0" borderId="99" xfId="0" applyNumberFormat="1" applyFont="1" applyBorder="1" applyAlignment="1">
      <alignment horizontal="right" vertical="center"/>
    </xf>
    <xf numFmtId="180" fontId="16" fillId="0" borderId="103" xfId="0" applyNumberFormat="1" applyFont="1" applyBorder="1" applyAlignment="1">
      <alignment horizontal="right" vertical="center"/>
    </xf>
    <xf numFmtId="180" fontId="16" fillId="0" borderId="100" xfId="0" applyNumberFormat="1" applyFont="1" applyBorder="1" applyAlignment="1">
      <alignment horizontal="right" vertical="center"/>
    </xf>
    <xf numFmtId="180" fontId="16" fillId="0" borderId="101" xfId="0" applyNumberFormat="1" applyFont="1" applyBorder="1" applyAlignment="1">
      <alignment horizontal="right" vertical="center"/>
    </xf>
    <xf numFmtId="180" fontId="16" fillId="0" borderId="34" xfId="0" applyNumberFormat="1" applyFont="1" applyBorder="1" applyAlignment="1">
      <alignment horizontal="right" vertical="center"/>
    </xf>
    <xf numFmtId="180" fontId="16" fillId="0" borderId="33" xfId="0" applyNumberFormat="1" applyFont="1" applyBorder="1" applyAlignment="1">
      <alignment horizontal="right" vertical="center"/>
    </xf>
    <xf numFmtId="180" fontId="16" fillId="0" borderId="102" xfId="0" applyNumberFormat="1" applyFont="1" applyBorder="1" applyAlignment="1">
      <alignment horizontal="right" vertical="center"/>
    </xf>
    <xf numFmtId="180" fontId="16" fillId="0" borderId="51" xfId="0" applyNumberFormat="1" applyFont="1" applyBorder="1" applyAlignment="1">
      <alignment horizontal="right" vertical="center"/>
    </xf>
    <xf numFmtId="180" fontId="16" fillId="0" borderId="50" xfId="0" applyNumberFormat="1" applyFont="1" applyBorder="1" applyAlignment="1">
      <alignment horizontal="right" vertical="center"/>
    </xf>
    <xf numFmtId="180" fontId="16" fillId="0" borderId="52" xfId="0" applyNumberFormat="1" applyFont="1" applyBorder="1" applyAlignment="1">
      <alignment horizontal="right" vertical="center"/>
    </xf>
  </cellXfs>
  <cellStyles count="1">
    <cellStyle name="표준" xfId="0" builtinId="0"/>
  </cellStyles>
  <dxfs count="13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</dxf>
    <dxf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</dxf>
  </dxfs>
  <tableStyles count="0" defaultTableStyle="TableStyleMedium2" defaultPivotStyle="PivotStyleLight16"/>
  <colors>
    <mruColors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175845</xdr:colOff>
      <xdr:row>3</xdr:row>
      <xdr:rowOff>219807</xdr:rowOff>
    </xdr:from>
    <xdr:to>
      <xdr:col>17</xdr:col>
      <xdr:colOff>36634</xdr:colOff>
      <xdr:row>5</xdr:row>
      <xdr:rowOff>102577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8DCEF9C-9FA2-45FB-9A88-2422EE141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6205" y="1118967"/>
          <a:ext cx="478009" cy="492370"/>
        </a:xfrm>
        <a:prstGeom prst="rect">
          <a:avLst/>
        </a:prstGeom>
      </xdr:spPr>
    </xdr:pic>
    <xdr:clientData/>
  </xdr:twoCellAnchor>
  <xdr:twoCellAnchor editAs="oneCell">
    <xdr:from>
      <xdr:col>32</xdr:col>
      <xdr:colOff>190499</xdr:colOff>
      <xdr:row>3</xdr:row>
      <xdr:rowOff>212480</xdr:rowOff>
    </xdr:from>
    <xdr:to>
      <xdr:col>35</xdr:col>
      <xdr:colOff>51288</xdr:colOff>
      <xdr:row>5</xdr:row>
      <xdr:rowOff>95250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860A069-98D1-4C8B-911F-6901BE49B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4179" y="1111640"/>
          <a:ext cx="478009" cy="4923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175845</xdr:colOff>
      <xdr:row>3</xdr:row>
      <xdr:rowOff>219807</xdr:rowOff>
    </xdr:from>
    <xdr:to>
      <xdr:col>17</xdr:col>
      <xdr:colOff>36634</xdr:colOff>
      <xdr:row>5</xdr:row>
      <xdr:rowOff>102577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8B7C418-FA3D-45F9-8CBA-1D2DFF4D3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0576" y="1121019"/>
          <a:ext cx="498231" cy="498231"/>
        </a:xfrm>
        <a:prstGeom prst="rect">
          <a:avLst/>
        </a:prstGeom>
      </xdr:spPr>
    </xdr:pic>
    <xdr:clientData/>
  </xdr:twoCellAnchor>
  <xdr:twoCellAnchor editAs="oneCell">
    <xdr:from>
      <xdr:col>32</xdr:col>
      <xdr:colOff>190499</xdr:colOff>
      <xdr:row>3</xdr:row>
      <xdr:rowOff>212480</xdr:rowOff>
    </xdr:from>
    <xdr:to>
      <xdr:col>35</xdr:col>
      <xdr:colOff>51288</xdr:colOff>
      <xdr:row>5</xdr:row>
      <xdr:rowOff>95250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24D31FD-255A-42B8-9989-5628F2B32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9884" y="1113692"/>
          <a:ext cx="498231" cy="498231"/>
        </a:xfrm>
        <a:prstGeom prst="rect">
          <a:avLst/>
        </a:prstGeom>
      </xdr:spPr>
    </xdr:pic>
    <xdr:clientData/>
  </xdr:twoCellAnchor>
  <xdr:twoCellAnchor>
    <xdr:from>
      <xdr:col>1</xdr:col>
      <xdr:colOff>162912</xdr:colOff>
      <xdr:row>2</xdr:row>
      <xdr:rowOff>26277</xdr:rowOff>
    </xdr:from>
    <xdr:to>
      <xdr:col>9</xdr:col>
      <xdr:colOff>116929</xdr:colOff>
      <xdr:row>3</xdr:row>
      <xdr:rowOff>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58CDCF9-519B-47B2-B11C-AC69EFB2DAE8}"/>
            </a:ext>
          </a:extLst>
        </xdr:cNvPr>
        <xdr:cNvSpPr/>
      </xdr:nvSpPr>
      <xdr:spPr>
        <a:xfrm>
          <a:off x="373119" y="643760"/>
          <a:ext cx="1635672" cy="249620"/>
        </a:xfrm>
        <a:prstGeom prst="rect">
          <a:avLst/>
        </a:prstGeom>
        <a:solidFill>
          <a:srgbClr val="FFFF00">
            <a:alpha val="11000"/>
          </a:srgbClr>
        </a:solidFill>
        <a:ln w="19050">
          <a:solidFill>
            <a:schemeClr val="tx1">
              <a:lumMod val="75000"/>
              <a:lumOff val="2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151086</xdr:colOff>
      <xdr:row>2</xdr:row>
      <xdr:rowOff>244366</xdr:rowOff>
    </xdr:from>
    <xdr:to>
      <xdr:col>17</xdr:col>
      <xdr:colOff>24963</xdr:colOff>
      <xdr:row>6</xdr:row>
      <xdr:rowOff>289034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EBAC10A8-DD3F-4331-B53F-38B5B5481B1F}"/>
            </a:ext>
          </a:extLst>
        </xdr:cNvPr>
        <xdr:cNvSpPr/>
      </xdr:nvSpPr>
      <xdr:spPr>
        <a:xfrm>
          <a:off x="361293" y="861849"/>
          <a:ext cx="3237187" cy="1227082"/>
        </a:xfrm>
        <a:prstGeom prst="rect">
          <a:avLst/>
        </a:prstGeom>
        <a:solidFill>
          <a:srgbClr val="FFFF00">
            <a:alpha val="11000"/>
          </a:srgbClr>
        </a:solidFill>
        <a:ln w="19050">
          <a:solidFill>
            <a:schemeClr val="tx1">
              <a:lumMod val="75000"/>
              <a:lumOff val="25000"/>
            </a:schemeClr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26276</xdr:colOff>
      <xdr:row>1</xdr:row>
      <xdr:rowOff>131380</xdr:rowOff>
    </xdr:from>
    <xdr:to>
      <xdr:col>12</xdr:col>
      <xdr:colOff>52551</xdr:colOff>
      <xdr:row>1</xdr:row>
      <xdr:rowOff>371804</xdr:rowOff>
    </xdr:to>
    <xdr:sp macro="" textlink="">
      <xdr:nvSpPr>
        <xdr:cNvPr id="7" name="말풍선: 사각형 6">
          <a:extLst>
            <a:ext uri="{FF2B5EF4-FFF2-40B4-BE49-F238E27FC236}">
              <a16:creationId xmlns:a16="http://schemas.microsoft.com/office/drawing/2014/main" id="{58295DA0-E643-4663-B845-E534EFFB3205}"/>
            </a:ext>
          </a:extLst>
        </xdr:cNvPr>
        <xdr:cNvSpPr/>
      </xdr:nvSpPr>
      <xdr:spPr>
        <a:xfrm>
          <a:off x="1051035" y="362608"/>
          <a:ext cx="1460937" cy="240424"/>
        </a:xfrm>
        <a:prstGeom prst="wedgeRectCallout">
          <a:avLst>
            <a:gd name="adj1" fmla="val -41843"/>
            <a:gd name="adj2" fmla="val 73645"/>
          </a:avLst>
        </a:prstGeom>
        <a:solidFill>
          <a:srgbClr val="3333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700" b="1"/>
            <a:t>영수증번호를 선택합니다</a:t>
          </a:r>
          <a:r>
            <a:rPr lang="en-US" altLang="ko-KR" sz="700" b="1"/>
            <a:t>.</a:t>
          </a:r>
        </a:p>
      </xdr:txBody>
    </xdr:sp>
    <xdr:clientData/>
  </xdr:twoCellAnchor>
  <xdr:twoCellAnchor>
    <xdr:from>
      <xdr:col>15</xdr:col>
      <xdr:colOff>165539</xdr:colOff>
      <xdr:row>7</xdr:row>
      <xdr:rowOff>22335</xdr:rowOff>
    </xdr:from>
    <xdr:to>
      <xdr:col>21</xdr:col>
      <xdr:colOff>64377</xdr:colOff>
      <xdr:row>8</xdr:row>
      <xdr:rowOff>40728</xdr:rowOff>
    </xdr:to>
    <xdr:sp macro="" textlink="">
      <xdr:nvSpPr>
        <xdr:cNvPr id="8" name="말풍선: 사각형 7">
          <a:extLst>
            <a:ext uri="{FF2B5EF4-FFF2-40B4-BE49-F238E27FC236}">
              <a16:creationId xmlns:a16="http://schemas.microsoft.com/office/drawing/2014/main" id="{6C4988B9-912C-4CCB-9D3D-784B91F6DE49}"/>
            </a:ext>
          </a:extLst>
        </xdr:cNvPr>
        <xdr:cNvSpPr/>
      </xdr:nvSpPr>
      <xdr:spPr>
        <a:xfrm>
          <a:off x="3239815" y="2140169"/>
          <a:ext cx="1128548" cy="249621"/>
        </a:xfrm>
        <a:prstGeom prst="wedgeRectCallout">
          <a:avLst>
            <a:gd name="adj1" fmla="val -45192"/>
            <a:gd name="adj2" fmla="val -98516"/>
          </a:avLst>
        </a:prstGeom>
        <a:solidFill>
          <a:srgbClr val="3333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ko-KR" altLang="en-US" sz="700" b="1"/>
            <a:t>공급자 정보를 입력합니다</a:t>
          </a:r>
          <a:r>
            <a:rPr lang="en-US" altLang="ko-KR" sz="700" b="1"/>
            <a:t>.</a:t>
          </a:r>
          <a:endParaRPr lang="ko-KR" altLang="en-US" sz="7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3661F1-256C-400F-801E-338131D3812B}" name="표1" displayName="표1" ref="A1:G12" totalsRowShown="0" headerRowDxfId="12">
  <autoFilter ref="A1:G12" xr:uid="{96576C0F-0BB0-4417-9166-3F7812DFCD2D}"/>
  <tableColumns count="7">
    <tableColumn id="1" xr3:uid="{FACD2A5E-B0E4-438A-BC94-27666AA9F0D6}" name="영수증번호" dataDxfId="9"/>
    <tableColumn id="7" xr3:uid="{40296A22-35D5-42FA-B27A-34BD98AE3913}" name="구매자" dataDxfId="8"/>
    <tableColumn id="2" xr3:uid="{2DCA7971-0775-4595-8F01-BE7D79FB9C63}" name="날짜" dataDxfId="7"/>
    <tableColumn id="3" xr3:uid="{5F21ACD8-C716-404E-B7A5-1EA66ABA87C8}" name="품목" dataDxfId="6"/>
    <tableColumn id="4" xr3:uid="{0301AE63-B5E2-4CF5-9889-590D4684FA5D}" name="수량"/>
    <tableColumn id="5" xr3:uid="{A8B2C53F-75F0-46A8-83B3-1BAA79E3083D}" name="단가" dataDxfId="11"/>
    <tableColumn id="6" xr3:uid="{A1C6E09B-A01B-4509-9AAF-F3599E6B5620}" name="금액" dataDxfId="10">
      <calculatedColumnFormula>F2*E2</calculatedColumnFormula>
    </tableColumn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A72FCE-DACF-4642-9893-58DDD7B677D1}" name="표3" displayName="표3" ref="I1:I51" totalsRowShown="0" headerRowDxfId="4" dataDxfId="3">
  <autoFilter ref="I1:I51" xr:uid="{B9AB3CBF-FB5D-4CF4-970B-F47D994D31B1}"/>
  <tableColumns count="1">
    <tableColumn id="1" xr3:uid="{441003C6-52D3-4948-88DA-AF00D11ECB6B}" name="영수증고유값" dataDxfId="5">
      <calculatedColumnFormula array="1">IFERROR(LOOKUP(2, 1/(COUNTIF($I$1:I1, 표1[영수증번호])=0), 표1[영수증번호]),"")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9355-884E-4B21-86CC-8EEA6E6839F8}">
  <sheetPr>
    <pageSetUpPr fitToPage="1"/>
  </sheetPr>
  <dimension ref="B1:AI28"/>
  <sheetViews>
    <sheetView showGridLines="0" tabSelected="1" zoomScale="130" zoomScaleNormal="130" workbookViewId="0"/>
  </sheetViews>
  <sheetFormatPr defaultColWidth="2.69921875" defaultRowHeight="17.399999999999999" x14ac:dyDescent="0.4"/>
  <cols>
    <col min="1" max="2" width="2.69921875" customWidth="1"/>
    <col min="10" max="10" width="2.69921875" customWidth="1"/>
    <col min="13" max="13" width="2.69921875" customWidth="1"/>
    <col min="17" max="17" width="2.69921875" customWidth="1"/>
    <col min="20" max="20" width="2.69921875" customWidth="1"/>
  </cols>
  <sheetData>
    <row r="1" spans="2:35" ht="18" thickBot="1" x14ac:dyDescent="0.45"/>
    <row r="2" spans="2:35" ht="31.5" customHeight="1" x14ac:dyDescent="0.4">
      <c r="B2" s="87" t="s">
        <v>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1"/>
      <c r="S2" s="2"/>
      <c r="T2" s="90" t="s">
        <v>1</v>
      </c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2"/>
    </row>
    <row r="3" spans="2:35" ht="21.75" customHeight="1" thickBot="1" x14ac:dyDescent="0.45">
      <c r="B3" s="82" t="s">
        <v>52</v>
      </c>
      <c r="C3" s="249"/>
      <c r="D3" s="249"/>
      <c r="E3" s="249"/>
      <c r="F3" s="249"/>
      <c r="G3" s="249"/>
      <c r="H3" s="249"/>
      <c r="I3" s="248"/>
      <c r="J3" s="106"/>
      <c r="K3" s="106"/>
      <c r="L3" s="106"/>
      <c r="M3" s="106"/>
      <c r="N3" s="106"/>
      <c r="O3" s="106"/>
      <c r="P3" s="107" t="s">
        <v>2</v>
      </c>
      <c r="Q3" s="108"/>
      <c r="R3" s="1"/>
      <c r="S3" s="2"/>
      <c r="T3" s="83" t="s">
        <v>52</v>
      </c>
      <c r="U3" s="113">
        <f>C3</f>
        <v>0</v>
      </c>
      <c r="V3" s="113"/>
      <c r="W3" s="113"/>
      <c r="X3" s="113"/>
      <c r="Y3" s="113"/>
      <c r="Z3" s="113"/>
      <c r="AA3" s="113"/>
      <c r="AB3" s="109">
        <f>J3</f>
        <v>0</v>
      </c>
      <c r="AC3" s="109"/>
      <c r="AD3" s="109"/>
      <c r="AE3" s="109"/>
      <c r="AF3" s="109"/>
      <c r="AG3" s="109"/>
      <c r="AH3" s="110" t="s">
        <v>2</v>
      </c>
      <c r="AI3" s="111"/>
    </row>
    <row r="4" spans="2:35" ht="24" customHeight="1" x14ac:dyDescent="0.4">
      <c r="B4" s="93" t="s">
        <v>3</v>
      </c>
      <c r="C4" s="96" t="s">
        <v>4</v>
      </c>
      <c r="D4" s="96"/>
      <c r="E4" s="97"/>
      <c r="F4" s="98" t="s">
        <v>22</v>
      </c>
      <c r="G4" s="99"/>
      <c r="H4" s="99"/>
      <c r="I4" s="99"/>
      <c r="J4" s="99"/>
      <c r="K4" s="99"/>
      <c r="L4" s="99"/>
      <c r="M4" s="99"/>
      <c r="N4" s="99"/>
      <c r="O4" s="99"/>
      <c r="P4" s="99"/>
      <c r="Q4" s="100"/>
      <c r="R4" s="1"/>
      <c r="S4" s="2"/>
      <c r="T4" s="101" t="s">
        <v>3</v>
      </c>
      <c r="U4" s="104" t="s">
        <v>4</v>
      </c>
      <c r="V4" s="104"/>
      <c r="W4" s="105"/>
      <c r="X4" s="84" t="str">
        <f>F4</f>
        <v>123-45-67890</v>
      </c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6"/>
    </row>
    <row r="5" spans="2:35" ht="24" customHeight="1" x14ac:dyDescent="0.4">
      <c r="B5" s="94"/>
      <c r="C5" s="132" t="s">
        <v>5</v>
      </c>
      <c r="D5" s="132"/>
      <c r="E5" s="133"/>
      <c r="F5" s="134" t="s">
        <v>23</v>
      </c>
      <c r="G5" s="135"/>
      <c r="H5" s="135"/>
      <c r="I5" s="135"/>
      <c r="J5" s="135"/>
      <c r="K5" s="135"/>
      <c r="L5" s="3" t="s">
        <v>6</v>
      </c>
      <c r="M5" s="136" t="s">
        <v>24</v>
      </c>
      <c r="N5" s="135"/>
      <c r="O5" s="137"/>
      <c r="P5" s="138" t="s">
        <v>7</v>
      </c>
      <c r="Q5" s="139"/>
      <c r="R5" s="1"/>
      <c r="S5" s="2"/>
      <c r="T5" s="102"/>
      <c r="U5" s="140" t="s">
        <v>5</v>
      </c>
      <c r="V5" s="140"/>
      <c r="W5" s="141"/>
      <c r="X5" s="142" t="str">
        <f>F5</f>
        <v>오빠두엑셀</v>
      </c>
      <c r="Y5" s="118"/>
      <c r="Z5" s="118"/>
      <c r="AA5" s="118"/>
      <c r="AB5" s="118"/>
      <c r="AC5" s="118"/>
      <c r="AD5" s="4" t="s">
        <v>6</v>
      </c>
      <c r="AE5" s="117" t="str">
        <f>M5</f>
        <v>오빠두</v>
      </c>
      <c r="AF5" s="118"/>
      <c r="AG5" s="119"/>
      <c r="AH5" s="120" t="s">
        <v>7</v>
      </c>
      <c r="AI5" s="121"/>
    </row>
    <row r="6" spans="2:35" ht="24" customHeight="1" x14ac:dyDescent="0.4">
      <c r="B6" s="94"/>
      <c r="C6" s="122" t="s">
        <v>8</v>
      </c>
      <c r="D6" s="122"/>
      <c r="E6" s="123"/>
      <c r="F6" s="124" t="s">
        <v>25</v>
      </c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6"/>
      <c r="R6" s="1"/>
      <c r="S6" s="2"/>
      <c r="T6" s="102"/>
      <c r="U6" s="127" t="s">
        <v>8</v>
      </c>
      <c r="V6" s="127"/>
      <c r="W6" s="128"/>
      <c r="X6" s="129" t="str">
        <f>F6</f>
        <v>서울시 강남구 테헤란로 오빠두빌딩</v>
      </c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1"/>
    </row>
    <row r="7" spans="2:35" ht="24" customHeight="1" thickBot="1" x14ac:dyDescent="0.45">
      <c r="B7" s="95"/>
      <c r="C7" s="143" t="s">
        <v>9</v>
      </c>
      <c r="D7" s="143"/>
      <c r="E7" s="144"/>
      <c r="F7" s="145" t="s">
        <v>26</v>
      </c>
      <c r="G7" s="146"/>
      <c r="H7" s="146"/>
      <c r="I7" s="146"/>
      <c r="J7" s="146"/>
      <c r="K7" s="146"/>
      <c r="L7" s="5" t="s">
        <v>10</v>
      </c>
      <c r="M7" s="147" t="s">
        <v>27</v>
      </c>
      <c r="N7" s="146"/>
      <c r="O7" s="146"/>
      <c r="P7" s="146"/>
      <c r="Q7" s="148"/>
      <c r="R7" s="1"/>
      <c r="S7" s="2"/>
      <c r="T7" s="103"/>
      <c r="U7" s="149" t="s">
        <v>9</v>
      </c>
      <c r="V7" s="149"/>
      <c r="W7" s="150"/>
      <c r="X7" s="151" t="str">
        <f>F7</f>
        <v>전자상거래</v>
      </c>
      <c r="Y7" s="115"/>
      <c r="Z7" s="115"/>
      <c r="AA7" s="115"/>
      <c r="AB7" s="115"/>
      <c r="AC7" s="115"/>
      <c r="AD7" s="6" t="s">
        <v>10</v>
      </c>
      <c r="AE7" s="114" t="str">
        <f>M7</f>
        <v>온라인교육</v>
      </c>
      <c r="AF7" s="115"/>
      <c r="AG7" s="115"/>
      <c r="AH7" s="115"/>
      <c r="AI7" s="116"/>
    </row>
    <row r="8" spans="2:35" ht="18" customHeight="1" x14ac:dyDescent="0.4">
      <c r="B8" s="166" t="s">
        <v>11</v>
      </c>
      <c r="C8" s="167"/>
      <c r="D8" s="167"/>
      <c r="E8" s="167"/>
      <c r="F8" s="167" t="s">
        <v>12</v>
      </c>
      <c r="G8" s="167"/>
      <c r="H8" s="167"/>
      <c r="I8" s="167"/>
      <c r="J8" s="167"/>
      <c r="K8" s="167"/>
      <c r="L8" s="167"/>
      <c r="M8" s="167"/>
      <c r="N8" s="167"/>
      <c r="O8" s="167" t="s">
        <v>13</v>
      </c>
      <c r="P8" s="167"/>
      <c r="Q8" s="168"/>
      <c r="R8" s="1"/>
      <c r="S8" s="2"/>
      <c r="T8" s="169" t="s">
        <v>11</v>
      </c>
      <c r="U8" s="152"/>
      <c r="V8" s="152"/>
      <c r="W8" s="152"/>
      <c r="X8" s="152" t="s">
        <v>12</v>
      </c>
      <c r="Y8" s="152"/>
      <c r="Z8" s="152"/>
      <c r="AA8" s="152"/>
      <c r="AB8" s="152"/>
      <c r="AC8" s="152"/>
      <c r="AD8" s="152"/>
      <c r="AE8" s="152"/>
      <c r="AF8" s="152"/>
      <c r="AG8" s="152" t="s">
        <v>13</v>
      </c>
      <c r="AH8" s="152"/>
      <c r="AI8" s="153"/>
    </row>
    <row r="9" spans="2:35" ht="18" customHeight="1" thickBot="1" x14ac:dyDescent="0.45">
      <c r="B9" s="154"/>
      <c r="C9" s="155"/>
      <c r="D9" s="155"/>
      <c r="E9" s="155"/>
      <c r="F9" s="8" t="s">
        <v>14</v>
      </c>
      <c r="G9" s="156">
        <f>K27</f>
        <v>0</v>
      </c>
      <c r="H9" s="157"/>
      <c r="I9" s="157"/>
      <c r="J9" s="157"/>
      <c r="K9" s="157"/>
      <c r="L9" s="157"/>
      <c r="M9" s="157"/>
      <c r="N9" s="157"/>
      <c r="O9" s="158"/>
      <c r="P9" s="158"/>
      <c r="Q9" s="159"/>
      <c r="R9" s="1"/>
      <c r="S9" s="2"/>
      <c r="T9" s="160">
        <f ca="1">TODAY()</f>
        <v>45569</v>
      </c>
      <c r="U9" s="161"/>
      <c r="V9" s="161"/>
      <c r="W9" s="161"/>
      <c r="X9" s="9" t="s">
        <v>14</v>
      </c>
      <c r="Y9" s="162">
        <f>G9</f>
        <v>0</v>
      </c>
      <c r="Z9" s="162"/>
      <c r="AA9" s="162"/>
      <c r="AB9" s="162"/>
      <c r="AC9" s="162"/>
      <c r="AD9" s="162"/>
      <c r="AE9" s="162"/>
      <c r="AF9" s="163"/>
      <c r="AG9" s="164"/>
      <c r="AH9" s="164"/>
      <c r="AI9" s="165"/>
    </row>
    <row r="10" spans="2:35" ht="23.25" customHeight="1" thickBot="1" x14ac:dyDescent="0.45">
      <c r="B10" s="172" t="s">
        <v>15</v>
      </c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4"/>
      <c r="R10" s="1"/>
      <c r="S10" s="2"/>
      <c r="T10" s="175" t="s">
        <v>15</v>
      </c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7"/>
    </row>
    <row r="11" spans="2:35" ht="19.5" customHeight="1" thickBot="1" x14ac:dyDescent="0.45">
      <c r="B11" s="178" t="s">
        <v>33</v>
      </c>
      <c r="C11" s="179"/>
      <c r="D11" s="179" t="s">
        <v>16</v>
      </c>
      <c r="E11" s="179"/>
      <c r="F11" s="179"/>
      <c r="G11" s="179"/>
      <c r="H11" s="179" t="s">
        <v>17</v>
      </c>
      <c r="I11" s="179"/>
      <c r="J11" s="179" t="s">
        <v>18</v>
      </c>
      <c r="K11" s="179"/>
      <c r="L11" s="179"/>
      <c r="M11" s="179"/>
      <c r="N11" s="179" t="s">
        <v>19</v>
      </c>
      <c r="O11" s="179"/>
      <c r="P11" s="179"/>
      <c r="Q11" s="180"/>
      <c r="R11" s="1"/>
      <c r="S11" s="2"/>
      <c r="T11" s="181" t="s">
        <v>33</v>
      </c>
      <c r="U11" s="170"/>
      <c r="V11" s="170" t="s">
        <v>16</v>
      </c>
      <c r="W11" s="170"/>
      <c r="X11" s="170"/>
      <c r="Y11" s="170"/>
      <c r="Z11" s="170" t="s">
        <v>17</v>
      </c>
      <c r="AA11" s="170"/>
      <c r="AB11" s="170" t="s">
        <v>20</v>
      </c>
      <c r="AC11" s="170"/>
      <c r="AD11" s="170"/>
      <c r="AE11" s="170"/>
      <c r="AF11" s="170" t="s">
        <v>19</v>
      </c>
      <c r="AG11" s="170"/>
      <c r="AH11" s="170"/>
      <c r="AI11" s="171"/>
    </row>
    <row r="12" spans="2:35" ht="18" customHeight="1" x14ac:dyDescent="0.4">
      <c r="B12" s="223"/>
      <c r="C12" s="224"/>
      <c r="D12" s="214"/>
      <c r="E12" s="215"/>
      <c r="F12" s="215"/>
      <c r="G12" s="216"/>
      <c r="H12" s="208"/>
      <c r="I12" s="209"/>
      <c r="J12" s="196"/>
      <c r="K12" s="197"/>
      <c r="L12" s="197"/>
      <c r="M12" s="205"/>
      <c r="N12" s="196">
        <f>H12*J12</f>
        <v>0</v>
      </c>
      <c r="O12" s="197"/>
      <c r="P12" s="197"/>
      <c r="Q12" s="198"/>
      <c r="R12" s="1"/>
      <c r="S12" s="2"/>
      <c r="T12" s="229" t="str">
        <f t="shared" ref="T12:T26" si="0">IF(B12="","",TEXT(B12,"m월 d일"))</f>
        <v/>
      </c>
      <c r="U12" s="230"/>
      <c r="V12" s="235" t="str">
        <f t="shared" ref="V12:V26" si="1">D12&amp;""</f>
        <v/>
      </c>
      <c r="W12" s="236"/>
      <c r="X12" s="236"/>
      <c r="Y12" s="237"/>
      <c r="Z12" s="250">
        <f>H12</f>
        <v>0</v>
      </c>
      <c r="AA12" s="251"/>
      <c r="AB12" s="252">
        <f t="shared" ref="AB12:AB26" si="2">J12</f>
        <v>0</v>
      </c>
      <c r="AC12" s="253"/>
      <c r="AD12" s="253">
        <f t="shared" ref="AD12:AD26" si="3">L12</f>
        <v>0</v>
      </c>
      <c r="AE12" s="254"/>
      <c r="AF12" s="265">
        <f t="shared" ref="AF12:AF26" si="4">N12</f>
        <v>0</v>
      </c>
      <c r="AG12" s="266"/>
      <c r="AH12" s="266">
        <f t="shared" ref="AH12:AH26" si="5">P12</f>
        <v>0</v>
      </c>
      <c r="AI12" s="267"/>
    </row>
    <row r="13" spans="2:35" ht="18" customHeight="1" x14ac:dyDescent="0.4">
      <c r="B13" s="225"/>
      <c r="C13" s="226"/>
      <c r="D13" s="217"/>
      <c r="E13" s="218"/>
      <c r="F13" s="218"/>
      <c r="G13" s="219"/>
      <c r="H13" s="210"/>
      <c r="I13" s="211"/>
      <c r="J13" s="199"/>
      <c r="K13" s="200"/>
      <c r="L13" s="200"/>
      <c r="M13" s="206"/>
      <c r="N13" s="199">
        <f t="shared" ref="N13:N26" si="6">H13*J13</f>
        <v>0</v>
      </c>
      <c r="O13" s="200"/>
      <c r="P13" s="200"/>
      <c r="Q13" s="201"/>
      <c r="R13" s="1"/>
      <c r="S13" s="2"/>
      <c r="T13" s="231" t="str">
        <f t="shared" si="0"/>
        <v/>
      </c>
      <c r="U13" s="232"/>
      <c r="V13" s="238" t="str">
        <f t="shared" si="1"/>
        <v/>
      </c>
      <c r="W13" s="239"/>
      <c r="X13" s="239"/>
      <c r="Y13" s="240"/>
      <c r="Z13" s="255">
        <f t="shared" ref="Z13:Z26" si="7">H13</f>
        <v>0</v>
      </c>
      <c r="AA13" s="256"/>
      <c r="AB13" s="257">
        <f t="shared" si="2"/>
        <v>0</v>
      </c>
      <c r="AC13" s="258"/>
      <c r="AD13" s="258">
        <f t="shared" si="3"/>
        <v>0</v>
      </c>
      <c r="AE13" s="259"/>
      <c r="AF13" s="268">
        <f t="shared" si="4"/>
        <v>0</v>
      </c>
      <c r="AG13" s="269"/>
      <c r="AH13" s="269">
        <f t="shared" si="5"/>
        <v>0</v>
      </c>
      <c r="AI13" s="270"/>
    </row>
    <row r="14" spans="2:35" ht="18" customHeight="1" x14ac:dyDescent="0.4">
      <c r="B14" s="225"/>
      <c r="C14" s="226"/>
      <c r="D14" s="217"/>
      <c r="E14" s="218"/>
      <c r="F14" s="218"/>
      <c r="G14" s="219"/>
      <c r="H14" s="210"/>
      <c r="I14" s="211"/>
      <c r="J14" s="199"/>
      <c r="K14" s="200"/>
      <c r="L14" s="200"/>
      <c r="M14" s="206"/>
      <c r="N14" s="199">
        <f t="shared" si="6"/>
        <v>0</v>
      </c>
      <c r="O14" s="200"/>
      <c r="P14" s="200"/>
      <c r="Q14" s="201"/>
      <c r="R14" s="1"/>
      <c r="S14" s="2"/>
      <c r="T14" s="231" t="str">
        <f t="shared" si="0"/>
        <v/>
      </c>
      <c r="U14" s="232"/>
      <c r="V14" s="238" t="str">
        <f t="shared" si="1"/>
        <v/>
      </c>
      <c r="W14" s="239"/>
      <c r="X14" s="239"/>
      <c r="Y14" s="240"/>
      <c r="Z14" s="255">
        <f t="shared" si="7"/>
        <v>0</v>
      </c>
      <c r="AA14" s="256"/>
      <c r="AB14" s="257">
        <f t="shared" si="2"/>
        <v>0</v>
      </c>
      <c r="AC14" s="258"/>
      <c r="AD14" s="258">
        <f t="shared" si="3"/>
        <v>0</v>
      </c>
      <c r="AE14" s="259"/>
      <c r="AF14" s="268">
        <f t="shared" si="4"/>
        <v>0</v>
      </c>
      <c r="AG14" s="269"/>
      <c r="AH14" s="269">
        <f t="shared" si="5"/>
        <v>0</v>
      </c>
      <c r="AI14" s="270"/>
    </row>
    <row r="15" spans="2:35" ht="18" customHeight="1" x14ac:dyDescent="0.4">
      <c r="B15" s="225"/>
      <c r="C15" s="226"/>
      <c r="D15" s="217"/>
      <c r="E15" s="218"/>
      <c r="F15" s="218"/>
      <c r="G15" s="219"/>
      <c r="H15" s="210"/>
      <c r="I15" s="211"/>
      <c r="J15" s="199"/>
      <c r="K15" s="200"/>
      <c r="L15" s="200"/>
      <c r="M15" s="206"/>
      <c r="N15" s="199">
        <f t="shared" si="6"/>
        <v>0</v>
      </c>
      <c r="O15" s="200"/>
      <c r="P15" s="200"/>
      <c r="Q15" s="201"/>
      <c r="R15" s="1"/>
      <c r="S15" s="2"/>
      <c r="T15" s="231" t="str">
        <f t="shared" si="0"/>
        <v/>
      </c>
      <c r="U15" s="232"/>
      <c r="V15" s="238" t="str">
        <f t="shared" si="1"/>
        <v/>
      </c>
      <c r="W15" s="239"/>
      <c r="X15" s="239"/>
      <c r="Y15" s="240"/>
      <c r="Z15" s="255">
        <f t="shared" si="7"/>
        <v>0</v>
      </c>
      <c r="AA15" s="256"/>
      <c r="AB15" s="257">
        <f t="shared" si="2"/>
        <v>0</v>
      </c>
      <c r="AC15" s="258"/>
      <c r="AD15" s="258">
        <f t="shared" si="3"/>
        <v>0</v>
      </c>
      <c r="AE15" s="259"/>
      <c r="AF15" s="268">
        <f t="shared" si="4"/>
        <v>0</v>
      </c>
      <c r="AG15" s="269"/>
      <c r="AH15" s="269">
        <f t="shared" si="5"/>
        <v>0</v>
      </c>
      <c r="AI15" s="270"/>
    </row>
    <row r="16" spans="2:35" ht="18" customHeight="1" x14ac:dyDescent="0.4">
      <c r="B16" s="225"/>
      <c r="C16" s="226"/>
      <c r="D16" s="217"/>
      <c r="E16" s="218"/>
      <c r="F16" s="218"/>
      <c r="G16" s="219"/>
      <c r="H16" s="210"/>
      <c r="I16" s="211"/>
      <c r="J16" s="199"/>
      <c r="K16" s="200"/>
      <c r="L16" s="200"/>
      <c r="M16" s="206"/>
      <c r="N16" s="199">
        <f t="shared" si="6"/>
        <v>0</v>
      </c>
      <c r="O16" s="200"/>
      <c r="P16" s="200"/>
      <c r="Q16" s="201"/>
      <c r="R16" s="1"/>
      <c r="S16" s="2"/>
      <c r="T16" s="231" t="str">
        <f t="shared" si="0"/>
        <v/>
      </c>
      <c r="U16" s="232"/>
      <c r="V16" s="238" t="str">
        <f t="shared" si="1"/>
        <v/>
      </c>
      <c r="W16" s="239"/>
      <c r="X16" s="239"/>
      <c r="Y16" s="240"/>
      <c r="Z16" s="255">
        <f t="shared" si="7"/>
        <v>0</v>
      </c>
      <c r="AA16" s="256"/>
      <c r="AB16" s="257">
        <f t="shared" si="2"/>
        <v>0</v>
      </c>
      <c r="AC16" s="258"/>
      <c r="AD16" s="258">
        <f t="shared" si="3"/>
        <v>0</v>
      </c>
      <c r="AE16" s="259"/>
      <c r="AF16" s="268">
        <f t="shared" si="4"/>
        <v>0</v>
      </c>
      <c r="AG16" s="269"/>
      <c r="AH16" s="269">
        <f t="shared" si="5"/>
        <v>0</v>
      </c>
      <c r="AI16" s="270"/>
    </row>
    <row r="17" spans="2:35" ht="18" customHeight="1" x14ac:dyDescent="0.4">
      <c r="B17" s="225"/>
      <c r="C17" s="226"/>
      <c r="D17" s="217"/>
      <c r="E17" s="218"/>
      <c r="F17" s="218"/>
      <c r="G17" s="219"/>
      <c r="H17" s="210"/>
      <c r="I17" s="211"/>
      <c r="J17" s="199"/>
      <c r="K17" s="200"/>
      <c r="L17" s="200"/>
      <c r="M17" s="206"/>
      <c r="N17" s="199">
        <f t="shared" si="6"/>
        <v>0</v>
      </c>
      <c r="O17" s="200"/>
      <c r="P17" s="200"/>
      <c r="Q17" s="201"/>
      <c r="R17" s="1"/>
      <c r="S17" s="2"/>
      <c r="T17" s="231" t="str">
        <f t="shared" si="0"/>
        <v/>
      </c>
      <c r="U17" s="232"/>
      <c r="V17" s="238" t="str">
        <f t="shared" si="1"/>
        <v/>
      </c>
      <c r="W17" s="239"/>
      <c r="X17" s="239"/>
      <c r="Y17" s="240"/>
      <c r="Z17" s="255">
        <f t="shared" si="7"/>
        <v>0</v>
      </c>
      <c r="AA17" s="256"/>
      <c r="AB17" s="257">
        <f t="shared" si="2"/>
        <v>0</v>
      </c>
      <c r="AC17" s="258"/>
      <c r="AD17" s="258">
        <f t="shared" si="3"/>
        <v>0</v>
      </c>
      <c r="AE17" s="259"/>
      <c r="AF17" s="268">
        <f t="shared" si="4"/>
        <v>0</v>
      </c>
      <c r="AG17" s="269"/>
      <c r="AH17" s="269">
        <f t="shared" si="5"/>
        <v>0</v>
      </c>
      <c r="AI17" s="270"/>
    </row>
    <row r="18" spans="2:35" ht="18" customHeight="1" x14ac:dyDescent="0.4">
      <c r="B18" s="225"/>
      <c r="C18" s="226"/>
      <c r="D18" s="217"/>
      <c r="E18" s="218"/>
      <c r="F18" s="218"/>
      <c r="G18" s="219"/>
      <c r="H18" s="210"/>
      <c r="I18" s="211"/>
      <c r="J18" s="199"/>
      <c r="K18" s="200"/>
      <c r="L18" s="200"/>
      <c r="M18" s="206"/>
      <c r="N18" s="199">
        <f t="shared" si="6"/>
        <v>0</v>
      </c>
      <c r="O18" s="200"/>
      <c r="P18" s="200"/>
      <c r="Q18" s="201"/>
      <c r="R18" s="1"/>
      <c r="S18" s="2"/>
      <c r="T18" s="231" t="str">
        <f t="shared" si="0"/>
        <v/>
      </c>
      <c r="U18" s="232"/>
      <c r="V18" s="238" t="str">
        <f t="shared" si="1"/>
        <v/>
      </c>
      <c r="W18" s="239"/>
      <c r="X18" s="239"/>
      <c r="Y18" s="240"/>
      <c r="Z18" s="255">
        <f t="shared" si="7"/>
        <v>0</v>
      </c>
      <c r="AA18" s="256"/>
      <c r="AB18" s="257">
        <f t="shared" si="2"/>
        <v>0</v>
      </c>
      <c r="AC18" s="258"/>
      <c r="AD18" s="258">
        <f t="shared" si="3"/>
        <v>0</v>
      </c>
      <c r="AE18" s="259"/>
      <c r="AF18" s="268">
        <f t="shared" si="4"/>
        <v>0</v>
      </c>
      <c r="AG18" s="269"/>
      <c r="AH18" s="269">
        <f t="shared" si="5"/>
        <v>0</v>
      </c>
      <c r="AI18" s="270"/>
    </row>
    <row r="19" spans="2:35" ht="18" customHeight="1" x14ac:dyDescent="0.4">
      <c r="B19" s="225"/>
      <c r="C19" s="226"/>
      <c r="D19" s="217"/>
      <c r="E19" s="218"/>
      <c r="F19" s="218"/>
      <c r="G19" s="219"/>
      <c r="H19" s="210"/>
      <c r="I19" s="211"/>
      <c r="J19" s="199"/>
      <c r="K19" s="200"/>
      <c r="L19" s="200"/>
      <c r="M19" s="206"/>
      <c r="N19" s="199">
        <f t="shared" si="6"/>
        <v>0</v>
      </c>
      <c r="O19" s="200"/>
      <c r="P19" s="200"/>
      <c r="Q19" s="201"/>
      <c r="R19" s="1"/>
      <c r="S19" s="2"/>
      <c r="T19" s="231" t="str">
        <f t="shared" si="0"/>
        <v/>
      </c>
      <c r="U19" s="232"/>
      <c r="V19" s="238" t="str">
        <f t="shared" si="1"/>
        <v/>
      </c>
      <c r="W19" s="239"/>
      <c r="X19" s="239"/>
      <c r="Y19" s="240"/>
      <c r="Z19" s="255">
        <f t="shared" si="7"/>
        <v>0</v>
      </c>
      <c r="AA19" s="256"/>
      <c r="AB19" s="257">
        <f t="shared" si="2"/>
        <v>0</v>
      </c>
      <c r="AC19" s="258"/>
      <c r="AD19" s="258">
        <f t="shared" si="3"/>
        <v>0</v>
      </c>
      <c r="AE19" s="259"/>
      <c r="AF19" s="268">
        <f t="shared" si="4"/>
        <v>0</v>
      </c>
      <c r="AG19" s="269"/>
      <c r="AH19" s="269">
        <f t="shared" si="5"/>
        <v>0</v>
      </c>
      <c r="AI19" s="270"/>
    </row>
    <row r="20" spans="2:35" ht="18" customHeight="1" x14ac:dyDescent="0.4">
      <c r="B20" s="225"/>
      <c r="C20" s="226"/>
      <c r="D20" s="217"/>
      <c r="E20" s="218"/>
      <c r="F20" s="218"/>
      <c r="G20" s="219"/>
      <c r="H20" s="210"/>
      <c r="I20" s="211"/>
      <c r="J20" s="199"/>
      <c r="K20" s="200"/>
      <c r="L20" s="200"/>
      <c r="M20" s="206"/>
      <c r="N20" s="199">
        <f t="shared" si="6"/>
        <v>0</v>
      </c>
      <c r="O20" s="200"/>
      <c r="P20" s="200"/>
      <c r="Q20" s="201"/>
      <c r="R20" s="1"/>
      <c r="S20" s="2"/>
      <c r="T20" s="231" t="str">
        <f t="shared" si="0"/>
        <v/>
      </c>
      <c r="U20" s="232"/>
      <c r="V20" s="238" t="str">
        <f t="shared" si="1"/>
        <v/>
      </c>
      <c r="W20" s="239"/>
      <c r="X20" s="239"/>
      <c r="Y20" s="240"/>
      <c r="Z20" s="255">
        <f t="shared" si="7"/>
        <v>0</v>
      </c>
      <c r="AA20" s="256"/>
      <c r="AB20" s="257">
        <f t="shared" si="2"/>
        <v>0</v>
      </c>
      <c r="AC20" s="258"/>
      <c r="AD20" s="258">
        <f t="shared" si="3"/>
        <v>0</v>
      </c>
      <c r="AE20" s="259"/>
      <c r="AF20" s="268">
        <f t="shared" si="4"/>
        <v>0</v>
      </c>
      <c r="AG20" s="269"/>
      <c r="AH20" s="269">
        <f t="shared" si="5"/>
        <v>0</v>
      </c>
      <c r="AI20" s="270"/>
    </row>
    <row r="21" spans="2:35" ht="18" customHeight="1" x14ac:dyDescent="0.4">
      <c r="B21" s="225"/>
      <c r="C21" s="226"/>
      <c r="D21" s="217"/>
      <c r="E21" s="218"/>
      <c r="F21" s="218"/>
      <c r="G21" s="219"/>
      <c r="H21" s="210"/>
      <c r="I21" s="211"/>
      <c r="J21" s="199"/>
      <c r="K21" s="200"/>
      <c r="L21" s="200"/>
      <c r="M21" s="206"/>
      <c r="N21" s="199">
        <f t="shared" si="6"/>
        <v>0</v>
      </c>
      <c r="O21" s="200"/>
      <c r="P21" s="200"/>
      <c r="Q21" s="201"/>
      <c r="R21" s="1"/>
      <c r="S21" s="2"/>
      <c r="T21" s="231" t="str">
        <f t="shared" si="0"/>
        <v/>
      </c>
      <c r="U21" s="232"/>
      <c r="V21" s="238" t="str">
        <f t="shared" si="1"/>
        <v/>
      </c>
      <c r="W21" s="239"/>
      <c r="X21" s="239"/>
      <c r="Y21" s="240"/>
      <c r="Z21" s="255">
        <f t="shared" si="7"/>
        <v>0</v>
      </c>
      <c r="AA21" s="256"/>
      <c r="AB21" s="257">
        <f t="shared" si="2"/>
        <v>0</v>
      </c>
      <c r="AC21" s="258"/>
      <c r="AD21" s="258">
        <f t="shared" si="3"/>
        <v>0</v>
      </c>
      <c r="AE21" s="259"/>
      <c r="AF21" s="268">
        <f t="shared" si="4"/>
        <v>0</v>
      </c>
      <c r="AG21" s="269"/>
      <c r="AH21" s="269">
        <f t="shared" si="5"/>
        <v>0</v>
      </c>
      <c r="AI21" s="270"/>
    </row>
    <row r="22" spans="2:35" ht="18" customHeight="1" x14ac:dyDescent="0.4">
      <c r="B22" s="225"/>
      <c r="C22" s="226"/>
      <c r="D22" s="217"/>
      <c r="E22" s="218"/>
      <c r="F22" s="218"/>
      <c r="G22" s="219"/>
      <c r="H22" s="210"/>
      <c r="I22" s="211"/>
      <c r="J22" s="199"/>
      <c r="K22" s="200"/>
      <c r="L22" s="200"/>
      <c r="M22" s="206"/>
      <c r="N22" s="199">
        <f t="shared" si="6"/>
        <v>0</v>
      </c>
      <c r="O22" s="200"/>
      <c r="P22" s="200"/>
      <c r="Q22" s="201"/>
      <c r="R22" s="1"/>
      <c r="S22" s="2"/>
      <c r="T22" s="231" t="str">
        <f t="shared" si="0"/>
        <v/>
      </c>
      <c r="U22" s="232"/>
      <c r="V22" s="238" t="str">
        <f t="shared" si="1"/>
        <v/>
      </c>
      <c r="W22" s="239"/>
      <c r="X22" s="239"/>
      <c r="Y22" s="240"/>
      <c r="Z22" s="255">
        <f t="shared" si="7"/>
        <v>0</v>
      </c>
      <c r="AA22" s="256"/>
      <c r="AB22" s="257">
        <f t="shared" si="2"/>
        <v>0</v>
      </c>
      <c r="AC22" s="258"/>
      <c r="AD22" s="258">
        <f t="shared" si="3"/>
        <v>0</v>
      </c>
      <c r="AE22" s="259"/>
      <c r="AF22" s="268">
        <f t="shared" si="4"/>
        <v>0</v>
      </c>
      <c r="AG22" s="269"/>
      <c r="AH22" s="269">
        <f t="shared" si="5"/>
        <v>0</v>
      </c>
      <c r="AI22" s="270"/>
    </row>
    <row r="23" spans="2:35" ht="18" customHeight="1" x14ac:dyDescent="0.4">
      <c r="B23" s="225"/>
      <c r="C23" s="226"/>
      <c r="D23" s="217"/>
      <c r="E23" s="218"/>
      <c r="F23" s="218"/>
      <c r="G23" s="219"/>
      <c r="H23" s="210"/>
      <c r="I23" s="211"/>
      <c r="J23" s="199"/>
      <c r="K23" s="200"/>
      <c r="L23" s="200"/>
      <c r="M23" s="206"/>
      <c r="N23" s="199">
        <f t="shared" si="6"/>
        <v>0</v>
      </c>
      <c r="O23" s="200"/>
      <c r="P23" s="200"/>
      <c r="Q23" s="201"/>
      <c r="R23" s="1"/>
      <c r="S23" s="2"/>
      <c r="T23" s="231" t="str">
        <f t="shared" si="0"/>
        <v/>
      </c>
      <c r="U23" s="232"/>
      <c r="V23" s="238" t="str">
        <f t="shared" si="1"/>
        <v/>
      </c>
      <c r="W23" s="239"/>
      <c r="X23" s="239"/>
      <c r="Y23" s="240"/>
      <c r="Z23" s="255">
        <f t="shared" si="7"/>
        <v>0</v>
      </c>
      <c r="AA23" s="256"/>
      <c r="AB23" s="257">
        <f t="shared" si="2"/>
        <v>0</v>
      </c>
      <c r="AC23" s="258"/>
      <c r="AD23" s="258">
        <f t="shared" si="3"/>
        <v>0</v>
      </c>
      <c r="AE23" s="259"/>
      <c r="AF23" s="268">
        <f t="shared" si="4"/>
        <v>0</v>
      </c>
      <c r="AG23" s="269"/>
      <c r="AH23" s="269">
        <f t="shared" si="5"/>
        <v>0</v>
      </c>
      <c r="AI23" s="270"/>
    </row>
    <row r="24" spans="2:35" ht="18" customHeight="1" x14ac:dyDescent="0.4">
      <c r="B24" s="225"/>
      <c r="C24" s="226"/>
      <c r="D24" s="217"/>
      <c r="E24" s="218"/>
      <c r="F24" s="218"/>
      <c r="G24" s="219"/>
      <c r="H24" s="210"/>
      <c r="I24" s="211"/>
      <c r="J24" s="199"/>
      <c r="K24" s="200"/>
      <c r="L24" s="200"/>
      <c r="M24" s="206"/>
      <c r="N24" s="199">
        <f t="shared" si="6"/>
        <v>0</v>
      </c>
      <c r="O24" s="200"/>
      <c r="P24" s="200"/>
      <c r="Q24" s="201"/>
      <c r="R24" s="1"/>
      <c r="S24" s="2"/>
      <c r="T24" s="231" t="str">
        <f t="shared" si="0"/>
        <v/>
      </c>
      <c r="U24" s="232"/>
      <c r="V24" s="238" t="str">
        <f t="shared" si="1"/>
        <v/>
      </c>
      <c r="W24" s="239"/>
      <c r="X24" s="239"/>
      <c r="Y24" s="240"/>
      <c r="Z24" s="255">
        <f t="shared" si="7"/>
        <v>0</v>
      </c>
      <c r="AA24" s="256"/>
      <c r="AB24" s="257">
        <f t="shared" si="2"/>
        <v>0</v>
      </c>
      <c r="AC24" s="258"/>
      <c r="AD24" s="258">
        <f t="shared" si="3"/>
        <v>0</v>
      </c>
      <c r="AE24" s="259"/>
      <c r="AF24" s="268">
        <f t="shared" si="4"/>
        <v>0</v>
      </c>
      <c r="AG24" s="269"/>
      <c r="AH24" s="269">
        <f t="shared" si="5"/>
        <v>0</v>
      </c>
      <c r="AI24" s="270"/>
    </row>
    <row r="25" spans="2:35" ht="18" customHeight="1" x14ac:dyDescent="0.4">
      <c r="B25" s="225"/>
      <c r="C25" s="226"/>
      <c r="D25" s="217"/>
      <c r="E25" s="218"/>
      <c r="F25" s="218"/>
      <c r="G25" s="219"/>
      <c r="H25" s="210"/>
      <c r="I25" s="211"/>
      <c r="J25" s="199"/>
      <c r="K25" s="200"/>
      <c r="L25" s="200"/>
      <c r="M25" s="206"/>
      <c r="N25" s="199">
        <f t="shared" si="6"/>
        <v>0</v>
      </c>
      <c r="O25" s="200"/>
      <c r="P25" s="200"/>
      <c r="Q25" s="201"/>
      <c r="R25" s="1"/>
      <c r="S25" s="2"/>
      <c r="T25" s="231" t="str">
        <f t="shared" si="0"/>
        <v/>
      </c>
      <c r="U25" s="232"/>
      <c r="V25" s="238" t="str">
        <f t="shared" si="1"/>
        <v/>
      </c>
      <c r="W25" s="239"/>
      <c r="X25" s="239"/>
      <c r="Y25" s="240"/>
      <c r="Z25" s="255">
        <f t="shared" si="7"/>
        <v>0</v>
      </c>
      <c r="AA25" s="256"/>
      <c r="AB25" s="257">
        <f t="shared" si="2"/>
        <v>0</v>
      </c>
      <c r="AC25" s="258"/>
      <c r="AD25" s="258">
        <f t="shared" si="3"/>
        <v>0</v>
      </c>
      <c r="AE25" s="259"/>
      <c r="AF25" s="268">
        <f t="shared" si="4"/>
        <v>0</v>
      </c>
      <c r="AG25" s="269"/>
      <c r="AH25" s="269">
        <f t="shared" si="5"/>
        <v>0</v>
      </c>
      <c r="AI25" s="270"/>
    </row>
    <row r="26" spans="2:35" ht="18" customHeight="1" thickBot="1" x14ac:dyDescent="0.45">
      <c r="B26" s="227"/>
      <c r="C26" s="228"/>
      <c r="D26" s="220"/>
      <c r="E26" s="221"/>
      <c r="F26" s="221"/>
      <c r="G26" s="222"/>
      <c r="H26" s="212"/>
      <c r="I26" s="213"/>
      <c r="J26" s="202"/>
      <c r="K26" s="203"/>
      <c r="L26" s="203"/>
      <c r="M26" s="207"/>
      <c r="N26" s="202">
        <f t="shared" si="6"/>
        <v>0</v>
      </c>
      <c r="O26" s="203"/>
      <c r="P26" s="203"/>
      <c r="Q26" s="204"/>
      <c r="R26" s="1"/>
      <c r="S26" s="2"/>
      <c r="T26" s="233" t="str">
        <f t="shared" si="0"/>
        <v/>
      </c>
      <c r="U26" s="234"/>
      <c r="V26" s="241" t="str">
        <f t="shared" si="1"/>
        <v/>
      </c>
      <c r="W26" s="242"/>
      <c r="X26" s="242"/>
      <c r="Y26" s="243"/>
      <c r="Z26" s="260">
        <f t="shared" si="7"/>
        <v>0</v>
      </c>
      <c r="AA26" s="261"/>
      <c r="AB26" s="262">
        <f t="shared" si="2"/>
        <v>0</v>
      </c>
      <c r="AC26" s="263"/>
      <c r="AD26" s="263">
        <f t="shared" si="3"/>
        <v>0</v>
      </c>
      <c r="AE26" s="264"/>
      <c r="AF26" s="271">
        <f t="shared" si="4"/>
        <v>0</v>
      </c>
      <c r="AG26" s="272"/>
      <c r="AH26" s="272">
        <f t="shared" si="5"/>
        <v>0</v>
      </c>
      <c r="AI26" s="273"/>
    </row>
    <row r="27" spans="2:35" ht="18" customHeight="1" thickBot="1" x14ac:dyDescent="0.45">
      <c r="B27" s="182"/>
      <c r="C27" s="183"/>
      <c r="D27" s="184" t="s">
        <v>21</v>
      </c>
      <c r="E27" s="184"/>
      <c r="F27" s="184"/>
      <c r="G27" s="184"/>
      <c r="H27" s="184"/>
      <c r="I27" s="184"/>
      <c r="J27" s="11" t="s">
        <v>14</v>
      </c>
      <c r="K27" s="246">
        <f>SUM(N12:Q26)</f>
        <v>0</v>
      </c>
      <c r="L27" s="246"/>
      <c r="M27" s="246"/>
      <c r="N27" s="246"/>
      <c r="O27" s="246"/>
      <c r="P27" s="246"/>
      <c r="Q27" s="247"/>
      <c r="R27" s="1"/>
      <c r="S27" s="2"/>
      <c r="T27" s="185"/>
      <c r="U27" s="186"/>
      <c r="V27" s="187" t="s">
        <v>21</v>
      </c>
      <c r="W27" s="188"/>
      <c r="X27" s="188"/>
      <c r="Y27" s="188"/>
      <c r="Z27" s="188"/>
      <c r="AA27" s="189"/>
      <c r="AB27" s="10" t="s">
        <v>14</v>
      </c>
      <c r="AC27" s="244">
        <f>K27</f>
        <v>0</v>
      </c>
      <c r="AD27" s="244"/>
      <c r="AE27" s="244"/>
      <c r="AF27" s="244"/>
      <c r="AG27" s="244"/>
      <c r="AH27" s="244"/>
      <c r="AI27" s="245"/>
    </row>
    <row r="28" spans="2:35" x14ac:dyDescent="0.4">
      <c r="Q28" s="13"/>
    </row>
  </sheetData>
  <mergeCells count="212">
    <mergeCell ref="AF24:AI24"/>
    <mergeCell ref="AF25:AI25"/>
    <mergeCell ref="AF26:AI26"/>
    <mergeCell ref="AC27:AI27"/>
    <mergeCell ref="C3:H3"/>
    <mergeCell ref="AF18:AI18"/>
    <mergeCell ref="AF19:AI19"/>
    <mergeCell ref="AF20:AI20"/>
    <mergeCell ref="AF21:AI21"/>
    <mergeCell ref="AF22:AI22"/>
    <mergeCell ref="AF23:AI23"/>
    <mergeCell ref="AF12:AI12"/>
    <mergeCell ref="AF13:AI13"/>
    <mergeCell ref="AF14:AI14"/>
    <mergeCell ref="AF15:AI15"/>
    <mergeCell ref="AF16:AI16"/>
    <mergeCell ref="AF17:AI17"/>
    <mergeCell ref="AB21:AE21"/>
    <mergeCell ref="AB22:AE22"/>
    <mergeCell ref="AB23:AE23"/>
    <mergeCell ref="AB24:AE24"/>
    <mergeCell ref="AB25:AE25"/>
    <mergeCell ref="AB26:AE26"/>
    <mergeCell ref="Z26:AA26"/>
    <mergeCell ref="AB12:AE12"/>
    <mergeCell ref="AB13:AE13"/>
    <mergeCell ref="AB14:AE14"/>
    <mergeCell ref="AB15:AE15"/>
    <mergeCell ref="AB16:AE16"/>
    <mergeCell ref="AB17:AE17"/>
    <mergeCell ref="AB18:AE18"/>
    <mergeCell ref="AB19:AE19"/>
    <mergeCell ref="AB20:AE20"/>
    <mergeCell ref="Z20:AA20"/>
    <mergeCell ref="Z21:AA21"/>
    <mergeCell ref="Z22:AA22"/>
    <mergeCell ref="Z23:AA23"/>
    <mergeCell ref="Z24:AA24"/>
    <mergeCell ref="Z25:AA25"/>
    <mergeCell ref="V25:Y25"/>
    <mergeCell ref="V26:Y26"/>
    <mergeCell ref="Z12:AA12"/>
    <mergeCell ref="Z13:AA13"/>
    <mergeCell ref="Z14:AA14"/>
    <mergeCell ref="Z15:AA15"/>
    <mergeCell ref="Z16:AA16"/>
    <mergeCell ref="Z17:AA17"/>
    <mergeCell ref="Z18:AA18"/>
    <mergeCell ref="Z19:AA19"/>
    <mergeCell ref="V19:Y19"/>
    <mergeCell ref="V20:Y20"/>
    <mergeCell ref="V21:Y21"/>
    <mergeCell ref="V22:Y22"/>
    <mergeCell ref="V23:Y23"/>
    <mergeCell ref="V24:Y24"/>
    <mergeCell ref="T24:U24"/>
    <mergeCell ref="T25:U25"/>
    <mergeCell ref="T26:U26"/>
    <mergeCell ref="V12:Y12"/>
    <mergeCell ref="V13:Y13"/>
    <mergeCell ref="V14:Y14"/>
    <mergeCell ref="V15:Y15"/>
    <mergeCell ref="V16:Y16"/>
    <mergeCell ref="V17:Y17"/>
    <mergeCell ref="V18:Y18"/>
    <mergeCell ref="T18:U18"/>
    <mergeCell ref="T19:U19"/>
    <mergeCell ref="T20:U20"/>
    <mergeCell ref="T21:U21"/>
    <mergeCell ref="T22:U22"/>
    <mergeCell ref="T23:U23"/>
    <mergeCell ref="T12:U12"/>
    <mergeCell ref="T13:U13"/>
    <mergeCell ref="T14:U14"/>
    <mergeCell ref="T15:U15"/>
    <mergeCell ref="T16:U16"/>
    <mergeCell ref="T17:U17"/>
    <mergeCell ref="B21:C21"/>
    <mergeCell ref="B22:C22"/>
    <mergeCell ref="B23:C23"/>
    <mergeCell ref="B24:C24"/>
    <mergeCell ref="B25:C25"/>
    <mergeCell ref="B26:C26"/>
    <mergeCell ref="D26:G26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D20:G20"/>
    <mergeCell ref="D21:G21"/>
    <mergeCell ref="D22:G22"/>
    <mergeCell ref="D23:G23"/>
    <mergeCell ref="D24:G24"/>
    <mergeCell ref="D25:G25"/>
    <mergeCell ref="H25:I25"/>
    <mergeCell ref="H26:I26"/>
    <mergeCell ref="D12:G12"/>
    <mergeCell ref="D13:G13"/>
    <mergeCell ref="D14:G14"/>
    <mergeCell ref="D15:G15"/>
    <mergeCell ref="D16:G16"/>
    <mergeCell ref="D17:G17"/>
    <mergeCell ref="D18:G18"/>
    <mergeCell ref="D19:G19"/>
    <mergeCell ref="H19:I19"/>
    <mergeCell ref="H20:I20"/>
    <mergeCell ref="H21:I21"/>
    <mergeCell ref="H22:I22"/>
    <mergeCell ref="H23:I23"/>
    <mergeCell ref="H24:I24"/>
    <mergeCell ref="J24:M24"/>
    <mergeCell ref="J25:M25"/>
    <mergeCell ref="J26:M26"/>
    <mergeCell ref="H12:I12"/>
    <mergeCell ref="H13:I13"/>
    <mergeCell ref="H14:I14"/>
    <mergeCell ref="H15:I15"/>
    <mergeCell ref="H16:I16"/>
    <mergeCell ref="H17:I17"/>
    <mergeCell ref="H18:I18"/>
    <mergeCell ref="J18:M18"/>
    <mergeCell ref="J19:M19"/>
    <mergeCell ref="J20:M20"/>
    <mergeCell ref="J21:M21"/>
    <mergeCell ref="J22:M22"/>
    <mergeCell ref="J23:M23"/>
    <mergeCell ref="J12:M12"/>
    <mergeCell ref="J13:M13"/>
    <mergeCell ref="J14:M14"/>
    <mergeCell ref="J15:M15"/>
    <mergeCell ref="J16:M16"/>
    <mergeCell ref="J17:M17"/>
    <mergeCell ref="N21:Q21"/>
    <mergeCell ref="N22:Q22"/>
    <mergeCell ref="N23:Q23"/>
    <mergeCell ref="N24:Q24"/>
    <mergeCell ref="N25:Q25"/>
    <mergeCell ref="N26:Q26"/>
    <mergeCell ref="N15:Q15"/>
    <mergeCell ref="N16:Q16"/>
    <mergeCell ref="N17:Q17"/>
    <mergeCell ref="N18:Q18"/>
    <mergeCell ref="N19:Q19"/>
    <mergeCell ref="N20:Q20"/>
    <mergeCell ref="AB11:AE11"/>
    <mergeCell ref="AF11:AI11"/>
    <mergeCell ref="B27:C27"/>
    <mergeCell ref="D27:I27"/>
    <mergeCell ref="T27:U27"/>
    <mergeCell ref="V27:AA27"/>
    <mergeCell ref="K27:Q27"/>
    <mergeCell ref="N12:Q12"/>
    <mergeCell ref="N13:Q13"/>
    <mergeCell ref="N14:Q14"/>
    <mergeCell ref="B10:Q10"/>
    <mergeCell ref="T10:AI10"/>
    <mergeCell ref="B11:C11"/>
    <mergeCell ref="D11:G11"/>
    <mergeCell ref="H11:I11"/>
    <mergeCell ref="J11:M11"/>
    <mergeCell ref="N11:Q11"/>
    <mergeCell ref="T11:U11"/>
    <mergeCell ref="V11:Y11"/>
    <mergeCell ref="Z11:AA11"/>
    <mergeCell ref="B9:E9"/>
    <mergeCell ref="G9:N9"/>
    <mergeCell ref="O9:Q9"/>
    <mergeCell ref="T9:W9"/>
    <mergeCell ref="Y9:AF9"/>
    <mergeCell ref="AG9:AI9"/>
    <mergeCell ref="B8:E8"/>
    <mergeCell ref="F8:N8"/>
    <mergeCell ref="O8:Q8"/>
    <mergeCell ref="T8:W8"/>
    <mergeCell ref="X8:AF8"/>
    <mergeCell ref="AG8:AI8"/>
    <mergeCell ref="C7:E7"/>
    <mergeCell ref="F7:K7"/>
    <mergeCell ref="M7:Q7"/>
    <mergeCell ref="U7:W7"/>
    <mergeCell ref="X7:AC7"/>
    <mergeCell ref="AE7:AI7"/>
    <mergeCell ref="U5:W5"/>
    <mergeCell ref="X5:AC5"/>
    <mergeCell ref="AE5:AG5"/>
    <mergeCell ref="AH5:AI5"/>
    <mergeCell ref="C6:E6"/>
    <mergeCell ref="F6:Q6"/>
    <mergeCell ref="U6:W6"/>
    <mergeCell ref="X6:AI6"/>
    <mergeCell ref="B4:B7"/>
    <mergeCell ref="C4:E4"/>
    <mergeCell ref="F4:Q4"/>
    <mergeCell ref="T4:T7"/>
    <mergeCell ref="U4:W4"/>
    <mergeCell ref="X4:AI4"/>
    <mergeCell ref="C5:E5"/>
    <mergeCell ref="F5:K5"/>
    <mergeCell ref="M5:O5"/>
    <mergeCell ref="P5:Q5"/>
    <mergeCell ref="B2:Q2"/>
    <mergeCell ref="T2:AI2"/>
    <mergeCell ref="J3:O3"/>
    <mergeCell ref="P3:Q3"/>
    <mergeCell ref="U3:AA3"/>
    <mergeCell ref="AB3:AG3"/>
    <mergeCell ref="AH3:AI3"/>
  </mergeCells>
  <phoneticPr fontId="3" type="noConversion"/>
  <conditionalFormatting sqref="C3:H3 J3:O3 B9:E9">
    <cfRule type="expression" dxfId="0" priority="1">
      <formula>B3=""</formula>
    </cfRule>
  </conditionalFormatting>
  <dataValidations disablePrompts="1" count="1">
    <dataValidation allowBlank="1" showInputMessage="1" sqref="C3 I3" xr:uid="{71862505-3031-417D-972A-59B51CF0F929}"/>
  </dataValidation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CC8D9-2A2F-4D03-826B-D6E7E63C5B93}">
  <sheetPr>
    <pageSetUpPr fitToPage="1"/>
  </sheetPr>
  <dimension ref="B1:AI28"/>
  <sheetViews>
    <sheetView showGridLines="0" zoomScale="130" zoomScaleNormal="130" workbookViewId="0">
      <selection activeCell="P12" sqref="P12"/>
    </sheetView>
  </sheetViews>
  <sheetFormatPr defaultColWidth="2.69921875" defaultRowHeight="17.399999999999999" x14ac:dyDescent="0.4"/>
  <cols>
    <col min="1" max="2" width="2.69921875" customWidth="1"/>
    <col min="10" max="10" width="2.69921875" customWidth="1"/>
    <col min="13" max="13" width="2.69921875" customWidth="1"/>
    <col min="17" max="17" width="2.69921875" customWidth="1"/>
    <col min="20" max="20" width="2.69921875" customWidth="1"/>
  </cols>
  <sheetData>
    <row r="1" spans="2:35" ht="18" thickBot="1" x14ac:dyDescent="0.45"/>
    <row r="2" spans="2:35" ht="31.5" customHeight="1" x14ac:dyDescent="0.4">
      <c r="B2" s="87" t="s">
        <v>0</v>
      </c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9"/>
      <c r="R2" s="1"/>
      <c r="S2" s="2"/>
      <c r="T2" s="90" t="s">
        <v>1</v>
      </c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2"/>
    </row>
    <row r="3" spans="2:35" ht="21.75" customHeight="1" thickBot="1" x14ac:dyDescent="0.45">
      <c r="B3" s="82" t="s">
        <v>52</v>
      </c>
      <c r="C3" s="112" t="s">
        <v>43</v>
      </c>
      <c r="D3" s="112"/>
      <c r="E3" s="112"/>
      <c r="F3" s="112"/>
      <c r="G3" s="112"/>
      <c r="H3" s="112"/>
      <c r="I3" s="112"/>
      <c r="J3" s="106" t="str">
        <f>VLOOKUP(C3,표1[],2,0)</f>
        <v>㈜ 카카오 프렌즈</v>
      </c>
      <c r="K3" s="106"/>
      <c r="L3" s="106"/>
      <c r="M3" s="106"/>
      <c r="N3" s="106"/>
      <c r="O3" s="106"/>
      <c r="P3" s="107" t="s">
        <v>2</v>
      </c>
      <c r="Q3" s="108"/>
      <c r="R3" s="1"/>
      <c r="S3" s="2"/>
      <c r="T3" s="83" t="s">
        <v>52</v>
      </c>
      <c r="U3" s="113" t="str">
        <f>C3</f>
        <v>20200601-002</v>
      </c>
      <c r="V3" s="113"/>
      <c r="W3" s="113"/>
      <c r="X3" s="113"/>
      <c r="Y3" s="113"/>
      <c r="Z3" s="113"/>
      <c r="AA3" s="113"/>
      <c r="AB3" s="109" t="str">
        <f>J3</f>
        <v>㈜ 카카오 프렌즈</v>
      </c>
      <c r="AC3" s="109"/>
      <c r="AD3" s="109"/>
      <c r="AE3" s="109"/>
      <c r="AF3" s="109"/>
      <c r="AG3" s="109"/>
      <c r="AH3" s="110" t="s">
        <v>2</v>
      </c>
      <c r="AI3" s="111"/>
    </row>
    <row r="4" spans="2:35" ht="24" customHeight="1" x14ac:dyDescent="0.4">
      <c r="B4" s="93" t="s">
        <v>3</v>
      </c>
      <c r="C4" s="96" t="s">
        <v>4</v>
      </c>
      <c r="D4" s="96"/>
      <c r="E4" s="97"/>
      <c r="F4" s="98" t="s">
        <v>22</v>
      </c>
      <c r="G4" s="99"/>
      <c r="H4" s="99"/>
      <c r="I4" s="99"/>
      <c r="J4" s="99"/>
      <c r="K4" s="99"/>
      <c r="L4" s="99"/>
      <c r="M4" s="99"/>
      <c r="N4" s="99"/>
      <c r="O4" s="99"/>
      <c r="P4" s="99"/>
      <c r="Q4" s="100"/>
      <c r="R4" s="1"/>
      <c r="S4" s="2"/>
      <c r="T4" s="101" t="s">
        <v>3</v>
      </c>
      <c r="U4" s="104" t="s">
        <v>4</v>
      </c>
      <c r="V4" s="104"/>
      <c r="W4" s="105"/>
      <c r="X4" s="84" t="str">
        <f>F4</f>
        <v>123-45-67890</v>
      </c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6"/>
    </row>
    <row r="5" spans="2:35" ht="24" customHeight="1" x14ac:dyDescent="0.4">
      <c r="B5" s="94"/>
      <c r="C5" s="132" t="s">
        <v>5</v>
      </c>
      <c r="D5" s="132"/>
      <c r="E5" s="133"/>
      <c r="F5" s="134" t="s">
        <v>23</v>
      </c>
      <c r="G5" s="135"/>
      <c r="H5" s="135"/>
      <c r="I5" s="135"/>
      <c r="J5" s="135"/>
      <c r="K5" s="135"/>
      <c r="L5" s="3" t="s">
        <v>6</v>
      </c>
      <c r="M5" s="136" t="s">
        <v>24</v>
      </c>
      <c r="N5" s="135"/>
      <c r="O5" s="137"/>
      <c r="P5" s="138" t="s">
        <v>7</v>
      </c>
      <c r="Q5" s="139"/>
      <c r="R5" s="1"/>
      <c r="S5" s="2"/>
      <c r="T5" s="102"/>
      <c r="U5" s="140" t="s">
        <v>5</v>
      </c>
      <c r="V5" s="140"/>
      <c r="W5" s="141"/>
      <c r="X5" s="142" t="str">
        <f>F5</f>
        <v>오빠두엑셀</v>
      </c>
      <c r="Y5" s="118"/>
      <c r="Z5" s="118"/>
      <c r="AA5" s="118"/>
      <c r="AB5" s="118"/>
      <c r="AC5" s="118"/>
      <c r="AD5" s="4" t="s">
        <v>6</v>
      </c>
      <c r="AE5" s="117" t="str">
        <f>M5</f>
        <v>오빠두</v>
      </c>
      <c r="AF5" s="118"/>
      <c r="AG5" s="119"/>
      <c r="AH5" s="120" t="s">
        <v>7</v>
      </c>
      <c r="AI5" s="121"/>
    </row>
    <row r="6" spans="2:35" ht="24" customHeight="1" x14ac:dyDescent="0.4">
      <c r="B6" s="94"/>
      <c r="C6" s="122" t="s">
        <v>8</v>
      </c>
      <c r="D6" s="122"/>
      <c r="E6" s="123"/>
      <c r="F6" s="124" t="s">
        <v>25</v>
      </c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6"/>
      <c r="R6" s="1"/>
      <c r="S6" s="2"/>
      <c r="T6" s="102"/>
      <c r="U6" s="127" t="s">
        <v>8</v>
      </c>
      <c r="V6" s="127"/>
      <c r="W6" s="128"/>
      <c r="X6" s="129" t="str">
        <f>F6</f>
        <v>서울시 강남구 테헤란로 오빠두빌딩</v>
      </c>
      <c r="Y6" s="130"/>
      <c r="Z6" s="130"/>
      <c r="AA6" s="130"/>
      <c r="AB6" s="130"/>
      <c r="AC6" s="130"/>
      <c r="AD6" s="130"/>
      <c r="AE6" s="130"/>
      <c r="AF6" s="130"/>
      <c r="AG6" s="130"/>
      <c r="AH6" s="130"/>
      <c r="AI6" s="131"/>
    </row>
    <row r="7" spans="2:35" ht="24" customHeight="1" thickBot="1" x14ac:dyDescent="0.45">
      <c r="B7" s="95"/>
      <c r="C7" s="143" t="s">
        <v>9</v>
      </c>
      <c r="D7" s="143"/>
      <c r="E7" s="144"/>
      <c r="F7" s="145" t="s">
        <v>26</v>
      </c>
      <c r="G7" s="146"/>
      <c r="H7" s="146"/>
      <c r="I7" s="146"/>
      <c r="J7" s="146"/>
      <c r="K7" s="146"/>
      <c r="L7" s="5" t="s">
        <v>10</v>
      </c>
      <c r="M7" s="147" t="s">
        <v>27</v>
      </c>
      <c r="N7" s="146"/>
      <c r="O7" s="146"/>
      <c r="P7" s="146"/>
      <c r="Q7" s="148"/>
      <c r="R7" s="1"/>
      <c r="S7" s="2"/>
      <c r="T7" s="103"/>
      <c r="U7" s="149" t="s">
        <v>9</v>
      </c>
      <c r="V7" s="149"/>
      <c r="W7" s="150"/>
      <c r="X7" s="151" t="str">
        <f>F7</f>
        <v>전자상거래</v>
      </c>
      <c r="Y7" s="115"/>
      <c r="Z7" s="115"/>
      <c r="AA7" s="115"/>
      <c r="AB7" s="115"/>
      <c r="AC7" s="115"/>
      <c r="AD7" s="6" t="s">
        <v>10</v>
      </c>
      <c r="AE7" s="114" t="str">
        <f>M7</f>
        <v>온라인교육</v>
      </c>
      <c r="AF7" s="115"/>
      <c r="AG7" s="115"/>
      <c r="AH7" s="115"/>
      <c r="AI7" s="116"/>
    </row>
    <row r="8" spans="2:35" ht="18" customHeight="1" x14ac:dyDescent="0.4">
      <c r="B8" s="166" t="s">
        <v>11</v>
      </c>
      <c r="C8" s="167"/>
      <c r="D8" s="167"/>
      <c r="E8" s="167"/>
      <c r="F8" s="167" t="s">
        <v>12</v>
      </c>
      <c r="G8" s="167"/>
      <c r="H8" s="167"/>
      <c r="I8" s="167"/>
      <c r="J8" s="167"/>
      <c r="K8" s="167"/>
      <c r="L8" s="167"/>
      <c r="M8" s="167"/>
      <c r="N8" s="167"/>
      <c r="O8" s="167" t="s">
        <v>13</v>
      </c>
      <c r="P8" s="167"/>
      <c r="Q8" s="168"/>
      <c r="R8" s="1"/>
      <c r="S8" s="2"/>
      <c r="T8" s="169" t="s">
        <v>11</v>
      </c>
      <c r="U8" s="152"/>
      <c r="V8" s="152"/>
      <c r="W8" s="152"/>
      <c r="X8" s="152" t="s">
        <v>12</v>
      </c>
      <c r="Y8" s="152"/>
      <c r="Z8" s="152"/>
      <c r="AA8" s="152"/>
      <c r="AB8" s="152"/>
      <c r="AC8" s="152"/>
      <c r="AD8" s="152"/>
      <c r="AE8" s="152"/>
      <c r="AF8" s="152"/>
      <c r="AG8" s="152" t="s">
        <v>13</v>
      </c>
      <c r="AH8" s="152"/>
      <c r="AI8" s="153"/>
    </row>
    <row r="9" spans="2:35" ht="18" customHeight="1" thickBot="1" x14ac:dyDescent="0.45">
      <c r="B9" s="154">
        <f ca="1">TODAY()</f>
        <v>45569</v>
      </c>
      <c r="C9" s="155"/>
      <c r="D9" s="155"/>
      <c r="E9" s="155"/>
      <c r="F9" s="8" t="s">
        <v>14</v>
      </c>
      <c r="G9" s="156" t="str">
        <f ca="1">Q27</f>
        <v>11,650,000</v>
      </c>
      <c r="H9" s="157"/>
      <c r="I9" s="157"/>
      <c r="J9" s="157"/>
      <c r="K9" s="157"/>
      <c r="L9" s="157"/>
      <c r="M9" s="157"/>
      <c r="N9" s="157"/>
      <c r="O9" s="158"/>
      <c r="P9" s="158"/>
      <c r="Q9" s="159"/>
      <c r="R9" s="1"/>
      <c r="S9" s="2"/>
      <c r="T9" s="160">
        <f ca="1">TODAY()</f>
        <v>45569</v>
      </c>
      <c r="U9" s="161"/>
      <c r="V9" s="161"/>
      <c r="W9" s="161"/>
      <c r="X9" s="9" t="s">
        <v>14</v>
      </c>
      <c r="Y9" s="162" t="str">
        <f ca="1">G9</f>
        <v>11,650,000</v>
      </c>
      <c r="Z9" s="162"/>
      <c r="AA9" s="162"/>
      <c r="AB9" s="162"/>
      <c r="AC9" s="162"/>
      <c r="AD9" s="162"/>
      <c r="AE9" s="162"/>
      <c r="AF9" s="163"/>
      <c r="AG9" s="164"/>
      <c r="AH9" s="164"/>
      <c r="AI9" s="165"/>
    </row>
    <row r="10" spans="2:35" ht="23.25" customHeight="1" thickBot="1" x14ac:dyDescent="0.45">
      <c r="B10" s="172" t="s">
        <v>15</v>
      </c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4"/>
      <c r="R10" s="1"/>
      <c r="S10" s="2"/>
      <c r="T10" s="175" t="s">
        <v>15</v>
      </c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7"/>
    </row>
    <row r="11" spans="2:35" ht="19.5" customHeight="1" thickBot="1" x14ac:dyDescent="0.45">
      <c r="B11" s="178" t="s">
        <v>33</v>
      </c>
      <c r="C11" s="179"/>
      <c r="D11" s="179" t="s">
        <v>16</v>
      </c>
      <c r="E11" s="179"/>
      <c r="F11" s="179"/>
      <c r="G11" s="179"/>
      <c r="H11" s="179" t="s">
        <v>17</v>
      </c>
      <c r="I11" s="179"/>
      <c r="J11" s="179" t="s">
        <v>18</v>
      </c>
      <c r="K11" s="179"/>
      <c r="L11" s="179"/>
      <c r="M11" s="179"/>
      <c r="N11" s="179" t="s">
        <v>19</v>
      </c>
      <c r="O11" s="179"/>
      <c r="P11" s="179"/>
      <c r="Q11" s="180"/>
      <c r="R11" s="1"/>
      <c r="S11" s="2"/>
      <c r="T11" s="181" t="s">
        <v>33</v>
      </c>
      <c r="U11" s="170"/>
      <c r="V11" s="170" t="s">
        <v>16</v>
      </c>
      <c r="W11" s="170"/>
      <c r="X11" s="170"/>
      <c r="Y11" s="170"/>
      <c r="Z11" s="170" t="s">
        <v>17</v>
      </c>
      <c r="AA11" s="170"/>
      <c r="AB11" s="170" t="s">
        <v>20</v>
      </c>
      <c r="AC11" s="170"/>
      <c r="AD11" s="170"/>
      <c r="AE11" s="170"/>
      <c r="AF11" s="170" t="s">
        <v>19</v>
      </c>
      <c r="AG11" s="170"/>
      <c r="AH11" s="170"/>
      <c r="AI11" s="171"/>
    </row>
    <row r="12" spans="2:35" ht="18" customHeight="1" x14ac:dyDescent="0.4">
      <c r="B12" s="15" t="str" cm="1">
        <f t="array" ref="B12">IFERROR(TEXT(INDEX(표1[날짜], SMALL(IF(($C$3=표1[영수증번호]),MATCH(ROW(표1[영수증번호]), ROW(표1[영수증번호])), ""), ROWS($A$1:A1))),"m월d일"),"")</f>
        <v>6월2일</v>
      </c>
      <c r="C12" s="16"/>
      <c r="D12" s="17" t="str">
        <f t="array" ref="D12">IFERROR(INDEX(표1[품목], SMALL(IF(($C$3=표1[영수증번호]),MATCH(ROW(표1[영수증번호]), ROW(표1[영수증번호])), ""), ROWS($A$1:A1))),"")</f>
        <v>LG 32인치 모니터</v>
      </c>
      <c r="E12" s="18"/>
      <c r="F12" s="18"/>
      <c r="G12" s="19"/>
      <c r="H12" s="20">
        <f t="array" ref="H12">IFERROR(INDEX(표1[수량], SMALL(IF(($C$3=표1[영수증번호]),MATCH(ROW(표1[영수증번호]), ROW(표1[영수증번호])), ""), ROWS($A$1:A1))),"")</f>
        <v>5</v>
      </c>
      <c r="I12" s="21"/>
      <c r="J12" s="22"/>
      <c r="K12" s="23"/>
      <c r="L12" s="23"/>
      <c r="M12" s="24" t="str" cm="1">
        <f t="array" ref="M12">IFERROR(TEXT(INDEX(표1[단가], SMALL(IF(($C$3=표1[영수증번호]),MATCH(ROW(표1[영수증번호]), ROW(표1[영수증번호])), ""), ROWS($A$1:A1))),"#,##0"),"")</f>
        <v>315,000</v>
      </c>
      <c r="N12" s="22"/>
      <c r="O12" s="23"/>
      <c r="P12" s="23"/>
      <c r="Q12" s="25" t="str" cm="1">
        <f t="array" ref="Q12">IFERROR(TEXT(INDEX(표1[금액], SMALL(IF(($C$3=표1[영수증번호]),MATCH(ROW(표1[영수증번호]), ROW(표1[영수증번호])), ""), ROWS($A$1:A1))),"#,##0"),"")</f>
        <v>1,575,000</v>
      </c>
      <c r="R12" s="1"/>
      <c r="S12" s="2"/>
      <c r="T12" s="67" t="str">
        <f>B12</f>
        <v>6월2일</v>
      </c>
      <c r="U12" s="68"/>
      <c r="V12" s="73" t="str">
        <f>D12</f>
        <v>LG 32인치 모니터</v>
      </c>
      <c r="W12" s="74"/>
      <c r="X12" s="74"/>
      <c r="Y12" s="75"/>
      <c r="Z12" s="74">
        <f>H12</f>
        <v>5</v>
      </c>
      <c r="AA12" s="74"/>
      <c r="AB12" s="61"/>
      <c r="AC12" s="52"/>
      <c r="AD12" s="52"/>
      <c r="AE12" s="62" t="str">
        <f>M12</f>
        <v>315,000</v>
      </c>
      <c r="AF12" s="55"/>
      <c r="AG12" s="55"/>
      <c r="AH12" s="55"/>
      <c r="AI12" s="56" t="str">
        <f>Q12</f>
        <v>1,575,000</v>
      </c>
    </row>
    <row r="13" spans="2:35" ht="18" customHeight="1" x14ac:dyDescent="0.4">
      <c r="B13" s="26" t="str" cm="1">
        <f t="array" ref="B13">IFERROR(TEXT(INDEX(표1[날짜], SMALL(IF(($C$3=표1[영수증번호]),MATCH(ROW(표1[영수증번호]), ROW(표1[영수증번호])), ""), ROWS($A$1:A2))),"m월d일"),"")</f>
        <v>6월2일</v>
      </c>
      <c r="C13" s="27"/>
      <c r="D13" s="28" t="str">
        <f t="array" ref="D13">IFERROR(INDEX(표1[품목], SMALL(IF(($C$3=표1[영수증번호]),MATCH(ROW(표1[영수증번호]), ROW(표1[영수증번호])), ""), ROWS($A$1:A2))),"")</f>
        <v>MS 서피스 프로</v>
      </c>
      <c r="E13" s="29"/>
      <c r="F13" s="29"/>
      <c r="G13" s="30"/>
      <c r="H13" s="31">
        <f t="array" ref="H13">IFERROR(INDEX(표1[수량], SMALL(IF(($C$3=표1[영수증번호]),MATCH(ROW(표1[영수증번호]), ROW(표1[영수증번호])), ""), ROWS($A$1:A2))),"")</f>
        <v>3</v>
      </c>
      <c r="I13" s="32"/>
      <c r="J13" s="33"/>
      <c r="K13" s="34"/>
      <c r="L13" s="34"/>
      <c r="M13" s="35" t="str" cm="1">
        <f t="array" ref="M13">IFERROR(TEXT(INDEX(표1[단가], SMALL(IF(($C$3=표1[영수증번호]),MATCH(ROW(표1[영수증번호]), ROW(표1[영수증번호])), ""), ROWS($A$1:A2))),"#,##0"),"")</f>
        <v>927,000</v>
      </c>
      <c r="N13" s="33"/>
      <c r="O13" s="34"/>
      <c r="P13" s="34"/>
      <c r="Q13" s="36" t="str" cm="1">
        <f t="array" ref="Q13">IFERROR(TEXT(INDEX(표1[금액], SMALL(IF(($C$3=표1[영수증번호]),MATCH(ROW(표1[영수증번호]), ROW(표1[영수증번호])), ""), ROWS($A$1:A2))),"#,##0"),"")</f>
        <v>2,781,000</v>
      </c>
      <c r="R13" s="1"/>
      <c r="S13" s="2"/>
      <c r="T13" s="69" t="str">
        <f t="shared" ref="T13:T26" si="0">B13</f>
        <v>6월2일</v>
      </c>
      <c r="U13" s="70"/>
      <c r="V13" s="76" t="str">
        <f t="shared" ref="V13:V26" si="1">D13</f>
        <v>MS 서피스 프로</v>
      </c>
      <c r="W13" s="77"/>
      <c r="X13" s="77"/>
      <c r="Y13" s="78"/>
      <c r="Z13" s="77">
        <f t="shared" ref="Z13:Z26" si="2">H13</f>
        <v>3</v>
      </c>
      <c r="AA13" s="77"/>
      <c r="AB13" s="63"/>
      <c r="AC13" s="53"/>
      <c r="AD13" s="53"/>
      <c r="AE13" s="64" t="str">
        <f t="shared" ref="AE13:AE26" si="3">M13</f>
        <v>927,000</v>
      </c>
      <c r="AF13" s="57"/>
      <c r="AG13" s="57"/>
      <c r="AH13" s="57"/>
      <c r="AI13" s="58" t="str">
        <f t="shared" ref="AI13:AI26" si="4">Q13</f>
        <v>2,781,000</v>
      </c>
    </row>
    <row r="14" spans="2:35" ht="18" customHeight="1" x14ac:dyDescent="0.4">
      <c r="B14" s="26" t="str" cm="1">
        <f t="array" ref="B14">IFERROR(TEXT(INDEX(표1[날짜], SMALL(IF(($C$3=표1[영수증번호]),MATCH(ROW(표1[영수증번호]), ROW(표1[영수증번호])), ""), ROWS($A$1:A3))),"m월d일"),"")</f>
        <v>6월2일</v>
      </c>
      <c r="C14" s="27"/>
      <c r="D14" s="28" t="str">
        <f t="array" ref="D14">IFERROR(INDEX(표1[품목], SMALL(IF(($C$3=표1[영수증번호]),MATCH(ROW(표1[영수증번호]), ROW(표1[영수증번호])), ""), ROWS($A$1:A3))),"")</f>
        <v>LG 무선마우스</v>
      </c>
      <c r="E14" s="29"/>
      <c r="F14" s="29"/>
      <c r="G14" s="30"/>
      <c r="H14" s="31">
        <f t="array" ref="H14">IFERROR(INDEX(표1[수량], SMALL(IF(($C$3=표1[영수증번호]),MATCH(ROW(표1[영수증번호]), ROW(표1[영수증번호])), ""), ROWS($A$1:A3))),"")</f>
        <v>30</v>
      </c>
      <c r="I14" s="32"/>
      <c r="J14" s="33"/>
      <c r="K14" s="34"/>
      <c r="L14" s="34"/>
      <c r="M14" s="35" t="str" cm="1">
        <f t="array" ref="M14">IFERROR(TEXT(INDEX(표1[단가], SMALL(IF(($C$3=표1[영수증번호]),MATCH(ROW(표1[영수증번호]), ROW(표1[영수증번호])), ""), ROWS($A$1:A3))),"#,##0"),"")</f>
        <v>33,000</v>
      </c>
      <c r="N14" s="33"/>
      <c r="O14" s="34"/>
      <c r="P14" s="34"/>
      <c r="Q14" s="36" t="str" cm="1">
        <f t="array" ref="Q14">IFERROR(TEXT(INDEX(표1[금액], SMALL(IF(($C$3=표1[영수증번호]),MATCH(ROW(표1[영수증번호]), ROW(표1[영수증번호])), ""), ROWS($A$1:A3))),"#,##0"),"")</f>
        <v>990,000</v>
      </c>
      <c r="R14" s="1"/>
      <c r="S14" s="2"/>
      <c r="T14" s="69" t="str">
        <f t="shared" si="0"/>
        <v>6월2일</v>
      </c>
      <c r="U14" s="70"/>
      <c r="V14" s="76" t="str">
        <f t="shared" si="1"/>
        <v>LG 무선마우스</v>
      </c>
      <c r="W14" s="77"/>
      <c r="X14" s="77"/>
      <c r="Y14" s="78"/>
      <c r="Z14" s="77">
        <f t="shared" si="2"/>
        <v>30</v>
      </c>
      <c r="AA14" s="77"/>
      <c r="AB14" s="63"/>
      <c r="AC14" s="53"/>
      <c r="AD14" s="53"/>
      <c r="AE14" s="64" t="str">
        <f t="shared" si="3"/>
        <v>33,000</v>
      </c>
      <c r="AF14" s="57"/>
      <c r="AG14" s="57"/>
      <c r="AH14" s="57"/>
      <c r="AI14" s="58" t="str">
        <f t="shared" si="4"/>
        <v>990,000</v>
      </c>
    </row>
    <row r="15" spans="2:35" ht="18" customHeight="1" x14ac:dyDescent="0.4">
      <c r="B15" s="26" t="str" cm="1">
        <f t="array" ref="B15">IFERROR(TEXT(INDEX(표1[날짜], SMALL(IF(($C$3=표1[영수증번호]),MATCH(ROW(표1[영수증번호]), ROW(표1[영수증번호])), ""), ROWS($A$1:A4))),"m월d일"),"")</f>
        <v>6월2일</v>
      </c>
      <c r="C15" s="27"/>
      <c r="D15" s="28" t="str">
        <f t="array" ref="D15">IFERROR(INDEX(표1[품목], SMALL(IF(($C$3=표1[영수증번호]),MATCH(ROW(표1[영수증번호]), ROW(표1[영수증번호])), ""), ROWS($A$1:A4))),"")</f>
        <v>게이밍 조립PC</v>
      </c>
      <c r="E15" s="29"/>
      <c r="F15" s="29"/>
      <c r="G15" s="30"/>
      <c r="H15" s="31">
        <f t="array" ref="H15">IFERROR(INDEX(표1[수량], SMALL(IF(($C$3=표1[영수증번호]),MATCH(ROW(표1[영수증번호]), ROW(표1[영수증번호])), ""), ROWS($A$1:A4))),"")</f>
        <v>2</v>
      </c>
      <c r="I15" s="32"/>
      <c r="J15" s="33"/>
      <c r="K15" s="34"/>
      <c r="L15" s="34"/>
      <c r="M15" s="35" t="str" cm="1">
        <f t="array" ref="M15">IFERROR(TEXT(INDEX(표1[단가], SMALL(IF(($C$3=표1[영수증번호]),MATCH(ROW(표1[영수증번호]), ROW(표1[영수증번호])), ""), ROWS($A$1:A4))),"#,##0"),"")</f>
        <v>3,152,000</v>
      </c>
      <c r="N15" s="33"/>
      <c r="O15" s="34"/>
      <c r="P15" s="34"/>
      <c r="Q15" s="36" t="str" cm="1">
        <f t="array" ref="Q15">IFERROR(TEXT(INDEX(표1[금액], SMALL(IF(($C$3=표1[영수증번호]),MATCH(ROW(표1[영수증번호]), ROW(표1[영수증번호])), ""), ROWS($A$1:A4))),"#,##0"),"")</f>
        <v>6,304,000</v>
      </c>
      <c r="R15" s="1"/>
      <c r="S15" s="2"/>
      <c r="T15" s="69" t="str">
        <f t="shared" si="0"/>
        <v>6월2일</v>
      </c>
      <c r="U15" s="70"/>
      <c r="V15" s="76" t="str">
        <f t="shared" si="1"/>
        <v>게이밍 조립PC</v>
      </c>
      <c r="W15" s="77"/>
      <c r="X15" s="77"/>
      <c r="Y15" s="78"/>
      <c r="Z15" s="77">
        <f t="shared" si="2"/>
        <v>2</v>
      </c>
      <c r="AA15" s="77"/>
      <c r="AB15" s="63"/>
      <c r="AC15" s="53"/>
      <c r="AD15" s="53"/>
      <c r="AE15" s="64" t="str">
        <f t="shared" si="3"/>
        <v>3,152,000</v>
      </c>
      <c r="AF15" s="57"/>
      <c r="AG15" s="57"/>
      <c r="AH15" s="57"/>
      <c r="AI15" s="58" t="str">
        <f t="shared" si="4"/>
        <v>6,304,000</v>
      </c>
    </row>
    <row r="16" spans="2:35" ht="18" customHeight="1" x14ac:dyDescent="0.4">
      <c r="B16" s="26" t="str" cm="1">
        <f t="array" ref="B16">IFERROR(TEXT(INDEX(표1[날짜], SMALL(IF(($C$3=표1[영수증번호]),MATCH(ROW(표1[영수증번호]), ROW(표1[영수증번호])), ""), ROWS($A$1:A5))),"m월d일"),"")</f>
        <v/>
      </c>
      <c r="C16" s="27"/>
      <c r="D16" s="28" t="str">
        <f t="array" ref="D16">IFERROR(INDEX(표1[품목], SMALL(IF(($C$3=표1[영수증번호]),MATCH(ROW(표1[영수증번호]), ROW(표1[영수증번호])), ""), ROWS($A$1:A5))),"")</f>
        <v/>
      </c>
      <c r="E16" s="29"/>
      <c r="F16" s="29"/>
      <c r="G16" s="30"/>
      <c r="H16" s="31" t="str">
        <f t="array" ref="H16">IFERROR(INDEX(표1[수량], SMALL(IF(($C$3=표1[영수증번호]),MATCH(ROW(표1[영수증번호]), ROW(표1[영수증번호])), ""), ROWS($A$1:A5))),"")</f>
        <v/>
      </c>
      <c r="I16" s="32"/>
      <c r="J16" s="33"/>
      <c r="K16" s="34"/>
      <c r="L16" s="34"/>
      <c r="M16" s="35" t="str" cm="1">
        <f t="array" ref="M16">IFERROR(TEXT(INDEX(표1[단가], SMALL(IF(($C$3=표1[영수증번호]),MATCH(ROW(표1[영수증번호]), ROW(표1[영수증번호])), ""), ROWS($A$1:A5))),"#,##0"),"")</f>
        <v/>
      </c>
      <c r="N16" s="33"/>
      <c r="O16" s="34"/>
      <c r="P16" s="34"/>
      <c r="Q16" s="36" t="str" cm="1">
        <f t="array" ref="Q16">IFERROR(TEXT(INDEX(표1[금액], SMALL(IF(($C$3=표1[영수증번호]),MATCH(ROW(표1[영수증번호]), ROW(표1[영수증번호])), ""), ROWS($A$1:A5))),"#,##0"),"")</f>
        <v/>
      </c>
      <c r="R16" s="1"/>
      <c r="S16" s="2"/>
      <c r="T16" s="69" t="str">
        <f t="shared" si="0"/>
        <v/>
      </c>
      <c r="U16" s="70"/>
      <c r="V16" s="76" t="str">
        <f t="shared" si="1"/>
        <v/>
      </c>
      <c r="W16" s="77"/>
      <c r="X16" s="77"/>
      <c r="Y16" s="78"/>
      <c r="Z16" s="77" t="str">
        <f t="shared" si="2"/>
        <v/>
      </c>
      <c r="AA16" s="77"/>
      <c r="AB16" s="63"/>
      <c r="AC16" s="53"/>
      <c r="AD16" s="53"/>
      <c r="AE16" s="64" t="str">
        <f t="shared" si="3"/>
        <v/>
      </c>
      <c r="AF16" s="57"/>
      <c r="AG16" s="57"/>
      <c r="AH16" s="57"/>
      <c r="AI16" s="58" t="str">
        <f t="shared" si="4"/>
        <v/>
      </c>
    </row>
    <row r="17" spans="2:35" ht="18" customHeight="1" x14ac:dyDescent="0.4">
      <c r="B17" s="26" t="str" cm="1">
        <f t="array" ref="B17">IFERROR(TEXT(INDEX(표1[날짜], SMALL(IF(($C$3=표1[영수증번호]),MATCH(ROW(표1[영수증번호]), ROW(표1[영수증번호])), ""), ROWS($A$1:A6))),"m월d일"),"")</f>
        <v/>
      </c>
      <c r="C17" s="27"/>
      <c r="D17" s="28" t="str">
        <f t="array" ref="D17">IFERROR(INDEX(표1[품목], SMALL(IF(($C$3=표1[영수증번호]),MATCH(ROW(표1[영수증번호]), ROW(표1[영수증번호])), ""), ROWS($A$1:A6))),"")</f>
        <v/>
      </c>
      <c r="E17" s="29"/>
      <c r="F17" s="29"/>
      <c r="G17" s="30"/>
      <c r="H17" s="31" t="str">
        <f t="array" ref="H17">IFERROR(INDEX(표1[수량], SMALL(IF(($C$3=표1[영수증번호]),MATCH(ROW(표1[영수증번호]), ROW(표1[영수증번호])), ""), ROWS($A$1:A6))),"")</f>
        <v/>
      </c>
      <c r="I17" s="32"/>
      <c r="J17" s="33"/>
      <c r="K17" s="34"/>
      <c r="L17" s="34"/>
      <c r="M17" s="35" t="str" cm="1">
        <f t="array" ref="M17">IFERROR(TEXT(INDEX(표1[단가], SMALL(IF(($C$3=표1[영수증번호]),MATCH(ROW(표1[영수증번호]), ROW(표1[영수증번호])), ""), ROWS($A$1:A6))),"#,##0"),"")</f>
        <v/>
      </c>
      <c r="N17" s="33"/>
      <c r="O17" s="34"/>
      <c r="P17" s="34"/>
      <c r="Q17" s="36" t="str" cm="1">
        <f t="array" ref="Q17">IFERROR(TEXT(INDEX(표1[금액], SMALL(IF(($C$3=표1[영수증번호]),MATCH(ROW(표1[영수증번호]), ROW(표1[영수증번호])), ""), ROWS($A$1:A6))),"#,##0"),"")</f>
        <v/>
      </c>
      <c r="R17" s="1"/>
      <c r="S17" s="2"/>
      <c r="T17" s="69" t="str">
        <f t="shared" si="0"/>
        <v/>
      </c>
      <c r="U17" s="70"/>
      <c r="V17" s="76" t="str">
        <f t="shared" si="1"/>
        <v/>
      </c>
      <c r="W17" s="77"/>
      <c r="X17" s="77"/>
      <c r="Y17" s="78"/>
      <c r="Z17" s="77" t="str">
        <f t="shared" si="2"/>
        <v/>
      </c>
      <c r="AA17" s="77"/>
      <c r="AB17" s="63"/>
      <c r="AC17" s="53"/>
      <c r="AD17" s="53"/>
      <c r="AE17" s="64" t="str">
        <f t="shared" si="3"/>
        <v/>
      </c>
      <c r="AF17" s="57"/>
      <c r="AG17" s="57"/>
      <c r="AH17" s="57"/>
      <c r="AI17" s="58" t="str">
        <f t="shared" si="4"/>
        <v/>
      </c>
    </row>
    <row r="18" spans="2:35" ht="18" customHeight="1" x14ac:dyDescent="0.4">
      <c r="B18" s="26" t="str" cm="1">
        <f t="array" ref="B18">IFERROR(TEXT(INDEX(표1[날짜], SMALL(IF(($C$3=표1[영수증번호]),MATCH(ROW(표1[영수증번호]), ROW(표1[영수증번호])), ""), ROWS($A$1:A7))),"m월d일"),"")</f>
        <v/>
      </c>
      <c r="C18" s="27"/>
      <c r="D18" s="28" t="str">
        <f t="array" ref="D18">IFERROR(INDEX(표1[품목], SMALL(IF(($C$3=표1[영수증번호]),MATCH(ROW(표1[영수증번호]), ROW(표1[영수증번호])), ""), ROWS($A$1:A7))),"")</f>
        <v/>
      </c>
      <c r="E18" s="29"/>
      <c r="F18" s="29"/>
      <c r="G18" s="30"/>
      <c r="H18" s="31" t="str">
        <f t="array" ref="H18">IFERROR(INDEX(표1[수량], SMALL(IF(($C$3=표1[영수증번호]),MATCH(ROW(표1[영수증번호]), ROW(표1[영수증번호])), ""), ROWS($A$1:A7))),"")</f>
        <v/>
      </c>
      <c r="I18" s="32"/>
      <c r="J18" s="33"/>
      <c r="K18" s="34"/>
      <c r="L18" s="34"/>
      <c r="M18" s="35" t="str" cm="1">
        <f t="array" ref="M18">IFERROR(TEXT(INDEX(표1[단가], SMALL(IF(($C$3=표1[영수증번호]),MATCH(ROW(표1[영수증번호]), ROW(표1[영수증번호])), ""), ROWS($A$1:A7))),"#,##0"),"")</f>
        <v/>
      </c>
      <c r="N18" s="33"/>
      <c r="O18" s="34"/>
      <c r="P18" s="34"/>
      <c r="Q18" s="36" t="str" cm="1">
        <f t="array" ref="Q18">IFERROR(TEXT(INDEX(표1[금액], SMALL(IF(($C$3=표1[영수증번호]),MATCH(ROW(표1[영수증번호]), ROW(표1[영수증번호])), ""), ROWS($A$1:A7))),"#,##0"),"")</f>
        <v/>
      </c>
      <c r="R18" s="1"/>
      <c r="S18" s="2"/>
      <c r="T18" s="69" t="str">
        <f t="shared" si="0"/>
        <v/>
      </c>
      <c r="U18" s="70"/>
      <c r="V18" s="76" t="str">
        <f t="shared" si="1"/>
        <v/>
      </c>
      <c r="W18" s="77"/>
      <c r="X18" s="77"/>
      <c r="Y18" s="78"/>
      <c r="Z18" s="77" t="str">
        <f t="shared" si="2"/>
        <v/>
      </c>
      <c r="AA18" s="77"/>
      <c r="AB18" s="63"/>
      <c r="AC18" s="53"/>
      <c r="AD18" s="53"/>
      <c r="AE18" s="64" t="str">
        <f t="shared" si="3"/>
        <v/>
      </c>
      <c r="AF18" s="57"/>
      <c r="AG18" s="57"/>
      <c r="AH18" s="57"/>
      <c r="AI18" s="58" t="str">
        <f t="shared" si="4"/>
        <v/>
      </c>
    </row>
    <row r="19" spans="2:35" ht="18" customHeight="1" x14ac:dyDescent="0.4">
      <c r="B19" s="26" t="str" cm="1">
        <f t="array" ref="B19">IFERROR(TEXT(INDEX(표1[날짜], SMALL(IF(($C$3=표1[영수증번호]),MATCH(ROW(표1[영수증번호]), ROW(표1[영수증번호])), ""), ROWS($A$1:A8))),"m월d일"),"")</f>
        <v/>
      </c>
      <c r="C19" s="27"/>
      <c r="D19" s="28" t="str">
        <f t="array" ref="D19">IFERROR(INDEX(표1[품목], SMALL(IF(($C$3=표1[영수증번호]),MATCH(ROW(표1[영수증번호]), ROW(표1[영수증번호])), ""), ROWS($A$1:A8))),"")</f>
        <v/>
      </c>
      <c r="E19" s="29"/>
      <c r="F19" s="29"/>
      <c r="G19" s="30"/>
      <c r="H19" s="31" t="str">
        <f t="array" ref="H19">IFERROR(INDEX(표1[수량], SMALL(IF(($C$3=표1[영수증번호]),MATCH(ROW(표1[영수증번호]), ROW(표1[영수증번호])), ""), ROWS($A$1:A8))),"")</f>
        <v/>
      </c>
      <c r="I19" s="32"/>
      <c r="J19" s="33"/>
      <c r="K19" s="34"/>
      <c r="L19" s="34"/>
      <c r="M19" s="35" t="str" cm="1">
        <f t="array" ref="M19">IFERROR(TEXT(INDEX(표1[단가], SMALL(IF(($C$3=표1[영수증번호]),MATCH(ROW(표1[영수증번호]), ROW(표1[영수증번호])), ""), ROWS($A$1:A8))),"#,##0"),"")</f>
        <v/>
      </c>
      <c r="N19" s="33"/>
      <c r="O19" s="34"/>
      <c r="P19" s="34"/>
      <c r="Q19" s="36" t="str" cm="1">
        <f t="array" ref="Q19">IFERROR(TEXT(INDEX(표1[금액], SMALL(IF(($C$3=표1[영수증번호]),MATCH(ROW(표1[영수증번호]), ROW(표1[영수증번호])), ""), ROWS($A$1:A8))),"#,##0"),"")</f>
        <v/>
      </c>
      <c r="R19" s="1"/>
      <c r="S19" s="2"/>
      <c r="T19" s="69" t="str">
        <f t="shared" si="0"/>
        <v/>
      </c>
      <c r="U19" s="70"/>
      <c r="V19" s="76" t="str">
        <f t="shared" si="1"/>
        <v/>
      </c>
      <c r="W19" s="77"/>
      <c r="X19" s="77"/>
      <c r="Y19" s="78"/>
      <c r="Z19" s="77" t="str">
        <f t="shared" si="2"/>
        <v/>
      </c>
      <c r="AA19" s="77"/>
      <c r="AB19" s="63"/>
      <c r="AC19" s="53"/>
      <c r="AD19" s="53"/>
      <c r="AE19" s="64" t="str">
        <f t="shared" si="3"/>
        <v/>
      </c>
      <c r="AF19" s="57"/>
      <c r="AG19" s="57"/>
      <c r="AH19" s="57"/>
      <c r="AI19" s="58" t="str">
        <f t="shared" si="4"/>
        <v/>
      </c>
    </row>
    <row r="20" spans="2:35" ht="18" customHeight="1" x14ac:dyDescent="0.4">
      <c r="B20" s="26" t="str" cm="1">
        <f t="array" ref="B20">IFERROR(TEXT(INDEX(표1[날짜], SMALL(IF(($C$3=표1[영수증번호]),MATCH(ROW(표1[영수증번호]), ROW(표1[영수증번호])), ""), ROWS($A$1:A9))),"m월d일"),"")</f>
        <v/>
      </c>
      <c r="C20" s="27"/>
      <c r="D20" s="28" t="str">
        <f t="array" ref="D20">IFERROR(INDEX(표1[품목], SMALL(IF(($C$3=표1[영수증번호]),MATCH(ROW(표1[영수증번호]), ROW(표1[영수증번호])), ""), ROWS($A$1:A9))),"")</f>
        <v/>
      </c>
      <c r="E20" s="29"/>
      <c r="F20" s="29"/>
      <c r="G20" s="30"/>
      <c r="H20" s="31" t="str">
        <f t="array" ref="H20">IFERROR(INDEX(표1[수량], SMALL(IF(($C$3=표1[영수증번호]),MATCH(ROW(표1[영수증번호]), ROW(표1[영수증번호])), ""), ROWS($A$1:A9))),"")</f>
        <v/>
      </c>
      <c r="I20" s="32"/>
      <c r="J20" s="33"/>
      <c r="K20" s="34"/>
      <c r="L20" s="34"/>
      <c r="M20" s="35" t="str" cm="1">
        <f t="array" ref="M20">IFERROR(TEXT(INDEX(표1[단가], SMALL(IF(($C$3=표1[영수증번호]),MATCH(ROW(표1[영수증번호]), ROW(표1[영수증번호])), ""), ROWS($A$1:A9))),"#,##0"),"")</f>
        <v/>
      </c>
      <c r="N20" s="33"/>
      <c r="O20" s="34"/>
      <c r="P20" s="34"/>
      <c r="Q20" s="36" t="str" cm="1">
        <f t="array" ref="Q20">IFERROR(TEXT(INDEX(표1[금액], SMALL(IF(($C$3=표1[영수증번호]),MATCH(ROW(표1[영수증번호]), ROW(표1[영수증번호])), ""), ROWS($A$1:A9))),"#,##0"),"")</f>
        <v/>
      </c>
      <c r="R20" s="1"/>
      <c r="S20" s="2"/>
      <c r="T20" s="69" t="str">
        <f t="shared" si="0"/>
        <v/>
      </c>
      <c r="U20" s="70"/>
      <c r="V20" s="76" t="str">
        <f t="shared" si="1"/>
        <v/>
      </c>
      <c r="W20" s="77"/>
      <c r="X20" s="77"/>
      <c r="Y20" s="78"/>
      <c r="Z20" s="77" t="str">
        <f t="shared" si="2"/>
        <v/>
      </c>
      <c r="AA20" s="77"/>
      <c r="AB20" s="63"/>
      <c r="AC20" s="53"/>
      <c r="AD20" s="53"/>
      <c r="AE20" s="64" t="str">
        <f t="shared" si="3"/>
        <v/>
      </c>
      <c r="AF20" s="57"/>
      <c r="AG20" s="57"/>
      <c r="AH20" s="57"/>
      <c r="AI20" s="58" t="str">
        <f t="shared" si="4"/>
        <v/>
      </c>
    </row>
    <row r="21" spans="2:35" ht="18" customHeight="1" x14ac:dyDescent="0.4">
      <c r="B21" s="26" t="str" cm="1">
        <f t="array" ref="B21">IFERROR(TEXT(INDEX(표1[날짜], SMALL(IF(($C$3=표1[영수증번호]),MATCH(ROW(표1[영수증번호]), ROW(표1[영수증번호])), ""), ROWS($A$1:A10))),"m월d일"),"")</f>
        <v/>
      </c>
      <c r="C21" s="27"/>
      <c r="D21" s="28" t="str">
        <f t="array" ref="D21">IFERROR(INDEX(표1[품목], SMALL(IF(($C$3=표1[영수증번호]),MATCH(ROW(표1[영수증번호]), ROW(표1[영수증번호])), ""), ROWS($A$1:A10))),"")</f>
        <v/>
      </c>
      <c r="E21" s="29"/>
      <c r="F21" s="29"/>
      <c r="G21" s="30"/>
      <c r="H21" s="31" t="str">
        <f t="array" ref="H21">IFERROR(INDEX(표1[수량], SMALL(IF(($C$3=표1[영수증번호]),MATCH(ROW(표1[영수증번호]), ROW(표1[영수증번호])), ""), ROWS($A$1:A10))),"")</f>
        <v/>
      </c>
      <c r="I21" s="32"/>
      <c r="J21" s="33"/>
      <c r="K21" s="34"/>
      <c r="L21" s="34"/>
      <c r="M21" s="35" t="str" cm="1">
        <f t="array" ref="M21">IFERROR(TEXT(INDEX(표1[단가], SMALL(IF(($C$3=표1[영수증번호]),MATCH(ROW(표1[영수증번호]), ROW(표1[영수증번호])), ""), ROWS($A$1:A10))),"#,##0"),"")</f>
        <v/>
      </c>
      <c r="N21" s="33"/>
      <c r="O21" s="34"/>
      <c r="P21" s="34"/>
      <c r="Q21" s="36" t="str" cm="1">
        <f t="array" ref="Q21">IFERROR(TEXT(INDEX(표1[금액], SMALL(IF(($C$3=표1[영수증번호]),MATCH(ROW(표1[영수증번호]), ROW(표1[영수증번호])), ""), ROWS($A$1:A10))),"#,##0"),"")</f>
        <v/>
      </c>
      <c r="R21" s="1"/>
      <c r="S21" s="2"/>
      <c r="T21" s="69" t="str">
        <f t="shared" si="0"/>
        <v/>
      </c>
      <c r="U21" s="70"/>
      <c r="V21" s="76" t="str">
        <f t="shared" si="1"/>
        <v/>
      </c>
      <c r="W21" s="77"/>
      <c r="X21" s="77"/>
      <c r="Y21" s="78"/>
      <c r="Z21" s="77" t="str">
        <f t="shared" si="2"/>
        <v/>
      </c>
      <c r="AA21" s="77"/>
      <c r="AB21" s="63"/>
      <c r="AC21" s="53"/>
      <c r="AD21" s="53"/>
      <c r="AE21" s="64" t="str">
        <f t="shared" si="3"/>
        <v/>
      </c>
      <c r="AF21" s="57"/>
      <c r="AG21" s="57"/>
      <c r="AH21" s="57"/>
      <c r="AI21" s="58" t="str">
        <f t="shared" si="4"/>
        <v/>
      </c>
    </row>
    <row r="22" spans="2:35" ht="18" customHeight="1" x14ac:dyDescent="0.4">
      <c r="B22" s="26" t="str" cm="1">
        <f t="array" ref="B22">IFERROR(TEXT(INDEX(표1[날짜], SMALL(IF(($C$3=표1[영수증번호]),MATCH(ROW(표1[영수증번호]), ROW(표1[영수증번호])), ""), ROWS($A$1:A11))),"m월d일"),"")</f>
        <v/>
      </c>
      <c r="C22" s="27"/>
      <c r="D22" s="28" t="str">
        <f t="array" ref="D22">IFERROR(INDEX(표1[품목], SMALL(IF(($C$3=표1[영수증번호]),MATCH(ROW(표1[영수증번호]), ROW(표1[영수증번호])), ""), ROWS($A$1:A11))),"")</f>
        <v/>
      </c>
      <c r="E22" s="29"/>
      <c r="F22" s="29"/>
      <c r="G22" s="30"/>
      <c r="H22" s="31" t="str">
        <f t="array" ref="H22">IFERROR(INDEX(표1[수량], SMALL(IF(($C$3=표1[영수증번호]),MATCH(ROW(표1[영수증번호]), ROW(표1[영수증번호])), ""), ROWS($A$1:A11))),"")</f>
        <v/>
      </c>
      <c r="I22" s="32"/>
      <c r="J22" s="33"/>
      <c r="K22" s="34"/>
      <c r="L22" s="34"/>
      <c r="M22" s="35" t="str" cm="1">
        <f t="array" ref="M22">IFERROR(TEXT(INDEX(표1[단가], SMALL(IF(($C$3=표1[영수증번호]),MATCH(ROW(표1[영수증번호]), ROW(표1[영수증번호])), ""), ROWS($A$1:A11))),"#,##0"),"")</f>
        <v/>
      </c>
      <c r="N22" s="33"/>
      <c r="O22" s="34"/>
      <c r="P22" s="34"/>
      <c r="Q22" s="36" t="str" cm="1">
        <f t="array" ref="Q22">IFERROR(TEXT(INDEX(표1[금액], SMALL(IF(($C$3=표1[영수증번호]),MATCH(ROW(표1[영수증번호]), ROW(표1[영수증번호])), ""), ROWS($A$1:A11))),"#,##0"),"")</f>
        <v/>
      </c>
      <c r="R22" s="1"/>
      <c r="S22" s="2"/>
      <c r="T22" s="69" t="str">
        <f t="shared" si="0"/>
        <v/>
      </c>
      <c r="U22" s="70"/>
      <c r="V22" s="76" t="str">
        <f t="shared" si="1"/>
        <v/>
      </c>
      <c r="W22" s="77"/>
      <c r="X22" s="77"/>
      <c r="Y22" s="78"/>
      <c r="Z22" s="77" t="str">
        <f t="shared" si="2"/>
        <v/>
      </c>
      <c r="AA22" s="77"/>
      <c r="AB22" s="63"/>
      <c r="AC22" s="53"/>
      <c r="AD22" s="53"/>
      <c r="AE22" s="64" t="str">
        <f t="shared" si="3"/>
        <v/>
      </c>
      <c r="AF22" s="57"/>
      <c r="AG22" s="57"/>
      <c r="AH22" s="57"/>
      <c r="AI22" s="58" t="str">
        <f t="shared" si="4"/>
        <v/>
      </c>
    </row>
    <row r="23" spans="2:35" ht="18" customHeight="1" x14ac:dyDescent="0.4">
      <c r="B23" s="26" t="str" cm="1">
        <f t="array" ref="B23">IFERROR(TEXT(INDEX(표1[날짜], SMALL(IF(($C$3=표1[영수증번호]),MATCH(ROW(표1[영수증번호]), ROW(표1[영수증번호])), ""), ROWS($A$1:A12))),"m월d일"),"")</f>
        <v/>
      </c>
      <c r="C23" s="27"/>
      <c r="D23" s="28" t="str">
        <f t="array" ref="D23">IFERROR(INDEX(표1[품목], SMALL(IF(($C$3=표1[영수증번호]),MATCH(ROW(표1[영수증번호]), ROW(표1[영수증번호])), ""), ROWS($A$1:A12))),"")</f>
        <v/>
      </c>
      <c r="E23" s="29"/>
      <c r="F23" s="29"/>
      <c r="G23" s="30"/>
      <c r="H23" s="31" t="str">
        <f t="array" ref="H23">IFERROR(INDEX(표1[수량], SMALL(IF(($C$3=표1[영수증번호]),MATCH(ROW(표1[영수증번호]), ROW(표1[영수증번호])), ""), ROWS($A$1:A12))),"")</f>
        <v/>
      </c>
      <c r="I23" s="32"/>
      <c r="J23" s="33"/>
      <c r="K23" s="34"/>
      <c r="L23" s="34"/>
      <c r="M23" s="35" t="str" cm="1">
        <f t="array" ref="M23">IFERROR(TEXT(INDEX(표1[단가], SMALL(IF(($C$3=표1[영수증번호]),MATCH(ROW(표1[영수증번호]), ROW(표1[영수증번호])), ""), ROWS($A$1:A12))),"#,##0"),"")</f>
        <v/>
      </c>
      <c r="N23" s="33"/>
      <c r="O23" s="34"/>
      <c r="P23" s="34"/>
      <c r="Q23" s="36" t="str" cm="1">
        <f t="array" ref="Q23">IFERROR(TEXT(INDEX(표1[금액], SMALL(IF(($C$3=표1[영수증번호]),MATCH(ROW(표1[영수증번호]), ROW(표1[영수증번호])), ""), ROWS($A$1:A12))),"#,##0"),"")</f>
        <v/>
      </c>
      <c r="R23" s="1"/>
      <c r="S23" s="2"/>
      <c r="T23" s="69" t="str">
        <f t="shared" si="0"/>
        <v/>
      </c>
      <c r="U23" s="70"/>
      <c r="V23" s="76" t="str">
        <f t="shared" si="1"/>
        <v/>
      </c>
      <c r="W23" s="77"/>
      <c r="X23" s="77"/>
      <c r="Y23" s="78"/>
      <c r="Z23" s="77" t="str">
        <f t="shared" si="2"/>
        <v/>
      </c>
      <c r="AA23" s="77"/>
      <c r="AB23" s="63"/>
      <c r="AC23" s="53"/>
      <c r="AD23" s="53"/>
      <c r="AE23" s="64" t="str">
        <f t="shared" si="3"/>
        <v/>
      </c>
      <c r="AF23" s="57"/>
      <c r="AG23" s="57"/>
      <c r="AH23" s="57"/>
      <c r="AI23" s="58" t="str">
        <f t="shared" si="4"/>
        <v/>
      </c>
    </row>
    <row r="24" spans="2:35" ht="18" customHeight="1" x14ac:dyDescent="0.4">
      <c r="B24" s="26" t="str" cm="1">
        <f t="array" ref="B24">IFERROR(TEXT(INDEX(표1[날짜], SMALL(IF(($C$3=표1[영수증번호]),MATCH(ROW(표1[영수증번호]), ROW(표1[영수증번호])), ""), ROWS($A$1:A13))),"m월d일"),"")</f>
        <v/>
      </c>
      <c r="C24" s="27"/>
      <c r="D24" s="28" t="str">
        <f t="array" ref="D24">IFERROR(INDEX(표1[품목], SMALL(IF(($C$3=표1[영수증번호]),MATCH(ROW(표1[영수증번호]), ROW(표1[영수증번호])), ""), ROWS($A$1:A13))),"")</f>
        <v/>
      </c>
      <c r="E24" s="29"/>
      <c r="F24" s="29"/>
      <c r="G24" s="30"/>
      <c r="H24" s="31" t="str">
        <f t="array" ref="H24">IFERROR(INDEX(표1[수량], SMALL(IF(($C$3=표1[영수증번호]),MATCH(ROW(표1[영수증번호]), ROW(표1[영수증번호])), ""), ROWS($A$1:A13))),"")</f>
        <v/>
      </c>
      <c r="I24" s="32"/>
      <c r="J24" s="33"/>
      <c r="K24" s="34"/>
      <c r="L24" s="34"/>
      <c r="M24" s="35" t="str" cm="1">
        <f t="array" ref="M24">IFERROR(TEXT(INDEX(표1[단가], SMALL(IF(($C$3=표1[영수증번호]),MATCH(ROW(표1[영수증번호]), ROW(표1[영수증번호])), ""), ROWS($A$1:A13))),"#,##0"),"")</f>
        <v/>
      </c>
      <c r="N24" s="33"/>
      <c r="O24" s="34"/>
      <c r="P24" s="34"/>
      <c r="Q24" s="36" t="str" cm="1">
        <f t="array" ref="Q24">IFERROR(TEXT(INDEX(표1[금액], SMALL(IF(($C$3=표1[영수증번호]),MATCH(ROW(표1[영수증번호]), ROW(표1[영수증번호])), ""), ROWS($A$1:A13))),"#,##0"),"")</f>
        <v/>
      </c>
      <c r="R24" s="1"/>
      <c r="S24" s="2"/>
      <c r="T24" s="69" t="str">
        <f t="shared" si="0"/>
        <v/>
      </c>
      <c r="U24" s="70"/>
      <c r="V24" s="76" t="str">
        <f t="shared" si="1"/>
        <v/>
      </c>
      <c r="W24" s="77"/>
      <c r="X24" s="77"/>
      <c r="Y24" s="78"/>
      <c r="Z24" s="77" t="str">
        <f t="shared" si="2"/>
        <v/>
      </c>
      <c r="AA24" s="77"/>
      <c r="AB24" s="63"/>
      <c r="AC24" s="53"/>
      <c r="AD24" s="53"/>
      <c r="AE24" s="64" t="str">
        <f t="shared" si="3"/>
        <v/>
      </c>
      <c r="AF24" s="57"/>
      <c r="AG24" s="57"/>
      <c r="AH24" s="57"/>
      <c r="AI24" s="58" t="str">
        <f t="shared" si="4"/>
        <v/>
      </c>
    </row>
    <row r="25" spans="2:35" ht="18" customHeight="1" x14ac:dyDescent="0.4">
      <c r="B25" s="26" t="str" cm="1">
        <f t="array" ref="B25">IFERROR(TEXT(INDEX(표1[날짜], SMALL(IF(($C$3=표1[영수증번호]),MATCH(ROW(표1[영수증번호]), ROW(표1[영수증번호])), ""), ROWS($A$1:A14))),"m월d일"),"")</f>
        <v/>
      </c>
      <c r="C25" s="27"/>
      <c r="D25" s="28" t="str">
        <f t="array" ref="D25">IFERROR(INDEX(표1[품목], SMALL(IF(($C$3=표1[영수증번호]),MATCH(ROW(표1[영수증번호]), ROW(표1[영수증번호])), ""), ROWS($A$1:A14))),"")</f>
        <v/>
      </c>
      <c r="E25" s="29"/>
      <c r="F25" s="29"/>
      <c r="G25" s="30"/>
      <c r="H25" s="31" t="str">
        <f t="array" ref="H25">IFERROR(INDEX(표1[수량], SMALL(IF(($C$3=표1[영수증번호]),MATCH(ROW(표1[영수증번호]), ROW(표1[영수증번호])), ""), ROWS($A$1:A14))),"")</f>
        <v/>
      </c>
      <c r="I25" s="32"/>
      <c r="J25" s="33"/>
      <c r="K25" s="34"/>
      <c r="L25" s="34"/>
      <c r="M25" s="35" t="str" cm="1">
        <f t="array" ref="M25">IFERROR(TEXT(INDEX(표1[단가], SMALL(IF(($C$3=표1[영수증번호]),MATCH(ROW(표1[영수증번호]), ROW(표1[영수증번호])), ""), ROWS($A$1:A14))),"#,##0"),"")</f>
        <v/>
      </c>
      <c r="N25" s="33"/>
      <c r="O25" s="34"/>
      <c r="P25" s="34"/>
      <c r="Q25" s="36" t="str" cm="1">
        <f t="array" ref="Q25">IFERROR(TEXT(INDEX(표1[금액], SMALL(IF(($C$3=표1[영수증번호]),MATCH(ROW(표1[영수증번호]), ROW(표1[영수증번호])), ""), ROWS($A$1:A14))),"#,##0"),"")</f>
        <v/>
      </c>
      <c r="R25" s="1"/>
      <c r="S25" s="2"/>
      <c r="T25" s="69" t="str">
        <f t="shared" si="0"/>
        <v/>
      </c>
      <c r="U25" s="70"/>
      <c r="V25" s="76" t="str">
        <f t="shared" si="1"/>
        <v/>
      </c>
      <c r="W25" s="77"/>
      <c r="X25" s="77"/>
      <c r="Y25" s="78"/>
      <c r="Z25" s="77" t="str">
        <f t="shared" si="2"/>
        <v/>
      </c>
      <c r="AA25" s="77"/>
      <c r="AB25" s="63"/>
      <c r="AC25" s="53"/>
      <c r="AD25" s="53"/>
      <c r="AE25" s="64" t="str">
        <f t="shared" si="3"/>
        <v/>
      </c>
      <c r="AF25" s="57"/>
      <c r="AG25" s="57"/>
      <c r="AH25" s="57"/>
      <c r="AI25" s="58" t="str">
        <f t="shared" si="4"/>
        <v/>
      </c>
    </row>
    <row r="26" spans="2:35" ht="18" customHeight="1" thickBot="1" x14ac:dyDescent="0.45">
      <c r="B26" s="37" t="str" cm="1">
        <f t="array" ref="B26">IFERROR(TEXT(INDEX(표1[날짜], SMALL(IF(($C$3=표1[영수증번호]),MATCH(ROW(표1[영수증번호]), ROW(표1[영수증번호])), ""), ROWS($A$1:A15))),"m월d일"),"")</f>
        <v/>
      </c>
      <c r="C26" s="38"/>
      <c r="D26" s="39" t="str">
        <f t="array" ref="D26">IFERROR(INDEX(표1[품목], SMALL(IF(($C$3=표1[영수증번호]),MATCH(ROW(표1[영수증번호]), ROW(표1[영수증번호])), ""), ROWS($A$1:A15))),"")</f>
        <v/>
      </c>
      <c r="E26" s="40"/>
      <c r="F26" s="40"/>
      <c r="G26" s="41"/>
      <c r="H26" s="42" t="str">
        <f t="array" ref="H26">IFERROR(INDEX(표1[수량], SMALL(IF(($C$3=표1[영수증번호]),MATCH(ROW(표1[영수증번호]), ROW(표1[영수증번호])), ""), ROWS($A$1:A15))),"")</f>
        <v/>
      </c>
      <c r="I26" s="43"/>
      <c r="J26" s="44"/>
      <c r="K26" s="45"/>
      <c r="L26" s="45"/>
      <c r="M26" s="46" t="str" cm="1">
        <f t="array" ref="M26">IFERROR(TEXT(INDEX(표1[단가], SMALL(IF(($C$3=표1[영수증번호]),MATCH(ROW(표1[영수증번호]), ROW(표1[영수증번호])), ""), ROWS($A$1:A15))),"#,##0"),"")</f>
        <v/>
      </c>
      <c r="N26" s="44"/>
      <c r="O26" s="45"/>
      <c r="P26" s="45"/>
      <c r="Q26" s="47" t="str" cm="1">
        <f t="array" ref="Q26">IFERROR(TEXT(INDEX(표1[금액], SMALL(IF(($C$3=표1[영수증번호]),MATCH(ROW(표1[영수증번호]), ROW(표1[영수증번호])), ""), ROWS($A$1:A15))),"#,##0"),"")</f>
        <v/>
      </c>
      <c r="R26" s="1"/>
      <c r="S26" s="2"/>
      <c r="T26" s="71" t="str">
        <f t="shared" si="0"/>
        <v/>
      </c>
      <c r="U26" s="72"/>
      <c r="V26" s="79" t="str">
        <f t="shared" si="1"/>
        <v/>
      </c>
      <c r="W26" s="80"/>
      <c r="X26" s="80"/>
      <c r="Y26" s="81"/>
      <c r="Z26" s="80" t="str">
        <f t="shared" si="2"/>
        <v/>
      </c>
      <c r="AA26" s="80"/>
      <c r="AB26" s="65"/>
      <c r="AC26" s="54"/>
      <c r="AD26" s="54"/>
      <c r="AE26" s="66" t="str">
        <f t="shared" si="3"/>
        <v/>
      </c>
      <c r="AF26" s="59"/>
      <c r="AG26" s="59"/>
      <c r="AH26" s="59"/>
      <c r="AI26" s="60" t="str">
        <f t="shared" si="4"/>
        <v/>
      </c>
    </row>
    <row r="27" spans="2:35" ht="18" customHeight="1" thickBot="1" x14ac:dyDescent="0.5">
      <c r="B27" s="182"/>
      <c r="C27" s="183"/>
      <c r="D27" s="184" t="s">
        <v>21</v>
      </c>
      <c r="E27" s="184"/>
      <c r="F27" s="184"/>
      <c r="G27" s="184"/>
      <c r="H27" s="184"/>
      <c r="I27" s="184"/>
      <c r="J27" s="11" t="s">
        <v>14</v>
      </c>
      <c r="K27" s="14"/>
      <c r="L27" s="12"/>
      <c r="M27" s="12"/>
      <c r="N27" s="12"/>
      <c r="O27" s="12"/>
      <c r="P27" s="12"/>
      <c r="Q27" s="48" t="str" cm="1">
        <f t="array" aca="1" ref="Q27" ca="1">TEXT(SUM(VALUE(합계범위)),"#,##0")</f>
        <v>11,650,000</v>
      </c>
      <c r="R27" s="1"/>
      <c r="S27" s="2"/>
      <c r="T27" s="185"/>
      <c r="U27" s="186"/>
      <c r="V27" s="187" t="s">
        <v>21</v>
      </c>
      <c r="W27" s="188"/>
      <c r="X27" s="188"/>
      <c r="Y27" s="188"/>
      <c r="Z27" s="188"/>
      <c r="AA27" s="189"/>
      <c r="AB27" s="10" t="s">
        <v>14</v>
      </c>
      <c r="AC27" s="49"/>
      <c r="AD27" s="49"/>
      <c r="AE27" s="49"/>
      <c r="AF27" s="49"/>
      <c r="AG27" s="50"/>
      <c r="AH27" s="49"/>
      <c r="AI27" s="51" t="str">
        <f ca="1">Q27</f>
        <v>11,650,000</v>
      </c>
    </row>
    <row r="28" spans="2:35" x14ac:dyDescent="0.4">
      <c r="Q28" s="13"/>
    </row>
  </sheetData>
  <mergeCells count="60">
    <mergeCell ref="B27:C27"/>
    <mergeCell ref="D27:I27"/>
    <mergeCell ref="T27:U27"/>
    <mergeCell ref="V27:AA27"/>
    <mergeCell ref="AB11:AE11"/>
    <mergeCell ref="AF11:AI11"/>
    <mergeCell ref="B10:Q10"/>
    <mergeCell ref="T10:AI10"/>
    <mergeCell ref="B11:C11"/>
    <mergeCell ref="D11:G11"/>
    <mergeCell ref="H11:I11"/>
    <mergeCell ref="J11:M11"/>
    <mergeCell ref="N11:Q11"/>
    <mergeCell ref="T11:U11"/>
    <mergeCell ref="V11:Y11"/>
    <mergeCell ref="Z11:AA11"/>
    <mergeCell ref="X8:AF8"/>
    <mergeCell ref="AG8:AI8"/>
    <mergeCell ref="B9:E9"/>
    <mergeCell ref="G9:N9"/>
    <mergeCell ref="O9:Q9"/>
    <mergeCell ref="T9:W9"/>
    <mergeCell ref="Y9:AF9"/>
    <mergeCell ref="AG9:AI9"/>
    <mergeCell ref="B8:E8"/>
    <mergeCell ref="F8:N8"/>
    <mergeCell ref="O8:Q8"/>
    <mergeCell ref="T8:W8"/>
    <mergeCell ref="C7:E7"/>
    <mergeCell ref="F7:K7"/>
    <mergeCell ref="M7:Q7"/>
    <mergeCell ref="U7:W7"/>
    <mergeCell ref="X7:AC7"/>
    <mergeCell ref="AH5:AI5"/>
    <mergeCell ref="C6:E6"/>
    <mergeCell ref="F6:Q6"/>
    <mergeCell ref="U6:W6"/>
    <mergeCell ref="X6:AI6"/>
    <mergeCell ref="C5:E5"/>
    <mergeCell ref="F5:K5"/>
    <mergeCell ref="M5:O5"/>
    <mergeCell ref="P5:Q5"/>
    <mergeCell ref="U5:W5"/>
    <mergeCell ref="X5:AC5"/>
    <mergeCell ref="X4:AI4"/>
    <mergeCell ref="B2:Q2"/>
    <mergeCell ref="T2:AI2"/>
    <mergeCell ref="B4:B7"/>
    <mergeCell ref="C4:E4"/>
    <mergeCell ref="F4:Q4"/>
    <mergeCell ref="T4:T7"/>
    <mergeCell ref="U4:W4"/>
    <mergeCell ref="J3:O3"/>
    <mergeCell ref="P3:Q3"/>
    <mergeCell ref="AB3:AG3"/>
    <mergeCell ref="AH3:AI3"/>
    <mergeCell ref="C3:I3"/>
    <mergeCell ref="U3:AA3"/>
    <mergeCell ref="AE7:AI7"/>
    <mergeCell ref="AE5:AG5"/>
  </mergeCells>
  <phoneticPr fontId="3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93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5064BBA3-2CC6-436B-8775-558272B816B6}">
          <x14:formula1>
            <xm:f>OFFSET(영수증DB!$I$2,,,COUNTIF(영수증DB!$I:$I,"*?")-1)</xm:f>
          </x14:formula1>
          <xm:sqref>C3:I3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C174C-61C1-4FE7-AF2D-85DF184A236D}">
  <sheetPr>
    <tabColor theme="1" tint="0.499984740745262"/>
  </sheetPr>
  <dimension ref="A1:I51"/>
  <sheetViews>
    <sheetView zoomScaleNormal="100" workbookViewId="0"/>
  </sheetViews>
  <sheetFormatPr defaultRowHeight="17.399999999999999" x14ac:dyDescent="0.4"/>
  <cols>
    <col min="1" max="2" width="15.5" style="194" customWidth="1"/>
    <col min="3" max="3" width="15.5" style="195" customWidth="1"/>
    <col min="4" max="4" width="15.5" style="194" customWidth="1"/>
    <col min="5" max="5" width="15.5" customWidth="1"/>
    <col min="6" max="7" width="15.5" style="191" customWidth="1"/>
    <col min="9" max="9" width="13.8984375" style="194" customWidth="1"/>
  </cols>
  <sheetData>
    <row r="1" spans="1:9" x14ac:dyDescent="0.4">
      <c r="A1" s="192" t="s">
        <v>28</v>
      </c>
      <c r="B1" s="192" t="s">
        <v>49</v>
      </c>
      <c r="C1" s="193" t="s">
        <v>33</v>
      </c>
      <c r="D1" s="192" t="s">
        <v>29</v>
      </c>
      <c r="E1" s="7" t="s">
        <v>30</v>
      </c>
      <c r="F1" s="190" t="s">
        <v>31</v>
      </c>
      <c r="G1" s="190" t="s">
        <v>32</v>
      </c>
      <c r="I1" s="194" t="s">
        <v>35</v>
      </c>
    </row>
    <row r="2" spans="1:9" x14ac:dyDescent="0.4">
      <c r="A2" s="194" t="s">
        <v>34</v>
      </c>
      <c r="B2" s="194" t="s">
        <v>50</v>
      </c>
      <c r="C2" s="195">
        <v>43983</v>
      </c>
      <c r="D2" s="194" t="s">
        <v>36</v>
      </c>
      <c r="E2">
        <v>5</v>
      </c>
      <c r="F2" s="191">
        <v>890000</v>
      </c>
      <c r="G2" s="191">
        <f>F2*E2</f>
        <v>4450000</v>
      </c>
      <c r="I2" s="194" t="str" cm="1">
        <f t="array" ref="I2">IFERROR(LOOKUP(2, 1/(COUNTIF($I$1:I1, 표1[영수증번호])=0), 표1[영수증번호]),"")</f>
        <v>20200601-002</v>
      </c>
    </row>
    <row r="3" spans="1:9" x14ac:dyDescent="0.4">
      <c r="A3" s="194" t="s">
        <v>34</v>
      </c>
      <c r="B3" s="194" t="s">
        <v>50</v>
      </c>
      <c r="C3" s="195">
        <v>43983</v>
      </c>
      <c r="D3" s="194" t="s">
        <v>37</v>
      </c>
      <c r="E3">
        <v>5</v>
      </c>
      <c r="F3" s="191">
        <v>1300000</v>
      </c>
      <c r="G3" s="191">
        <f t="shared" ref="G3:G12" si="0">F3*E3</f>
        <v>6500000</v>
      </c>
      <c r="I3" s="194" t="str" cm="1">
        <f t="array" ref="I3">IFERROR(LOOKUP(2, 1/(COUNTIF($I$1:I2, 표1[영수증번호])=0), 표1[영수증번호]),"")</f>
        <v>20200601-001</v>
      </c>
    </row>
    <row r="4" spans="1:9" x14ac:dyDescent="0.4">
      <c r="A4" s="194" t="s">
        <v>34</v>
      </c>
      <c r="B4" s="194" t="s">
        <v>50</v>
      </c>
      <c r="C4" s="195">
        <v>43983</v>
      </c>
      <c r="D4" s="194" t="s">
        <v>38</v>
      </c>
      <c r="E4">
        <v>10</v>
      </c>
      <c r="F4" s="191">
        <v>320000</v>
      </c>
      <c r="G4" s="191">
        <f t="shared" si="0"/>
        <v>3200000</v>
      </c>
      <c r="I4" s="194" t="str" cm="1">
        <f t="array" ref="I4">IFERROR(LOOKUP(2, 1/(COUNTIF($I$1:I3, 표1[영수증번호])=0), 표1[영수증번호]),"")</f>
        <v/>
      </c>
    </row>
    <row r="5" spans="1:9" x14ac:dyDescent="0.4">
      <c r="A5" s="194" t="s">
        <v>34</v>
      </c>
      <c r="B5" s="194" t="s">
        <v>50</v>
      </c>
      <c r="C5" s="195">
        <v>43983</v>
      </c>
      <c r="D5" s="194" t="s">
        <v>39</v>
      </c>
      <c r="E5">
        <v>30</v>
      </c>
      <c r="F5" s="191">
        <v>1100000</v>
      </c>
      <c r="G5" s="191">
        <f t="shared" si="0"/>
        <v>33000000</v>
      </c>
      <c r="I5" s="194" t="str" cm="1">
        <f t="array" ref="I5">IFERROR(LOOKUP(2, 1/(COUNTIF($I$1:I4, 표1[영수증번호])=0), 표1[영수증번호]),"")</f>
        <v/>
      </c>
    </row>
    <row r="6" spans="1:9" x14ac:dyDescent="0.4">
      <c r="A6" s="194" t="s">
        <v>34</v>
      </c>
      <c r="B6" s="194" t="s">
        <v>50</v>
      </c>
      <c r="C6" s="195">
        <v>43983</v>
      </c>
      <c r="D6" s="194" t="s">
        <v>40</v>
      </c>
      <c r="E6">
        <v>5</v>
      </c>
      <c r="F6" s="191">
        <v>450000</v>
      </c>
      <c r="G6" s="191">
        <f t="shared" si="0"/>
        <v>2250000</v>
      </c>
      <c r="I6" s="194" t="str" cm="1">
        <f t="array" ref="I6">IFERROR(LOOKUP(2, 1/(COUNTIF($I$1:I5, 표1[영수증번호])=0), 표1[영수증번호]),"")</f>
        <v/>
      </c>
    </row>
    <row r="7" spans="1:9" x14ac:dyDescent="0.4">
      <c r="A7" s="194" t="s">
        <v>34</v>
      </c>
      <c r="B7" s="194" t="s">
        <v>50</v>
      </c>
      <c r="C7" s="195">
        <v>43983</v>
      </c>
      <c r="D7" s="194" t="s">
        <v>41</v>
      </c>
      <c r="E7">
        <v>30</v>
      </c>
      <c r="F7" s="191">
        <v>38000</v>
      </c>
      <c r="G7" s="191">
        <f t="shared" si="0"/>
        <v>1140000</v>
      </c>
      <c r="I7" s="194" t="str" cm="1">
        <f t="array" ref="I7">IFERROR(LOOKUP(2, 1/(COUNTIF($I$1:I6, 표1[영수증번호])=0), 표1[영수증번호]),"")</f>
        <v/>
      </c>
    </row>
    <row r="8" spans="1:9" x14ac:dyDescent="0.4">
      <c r="A8" s="194" t="s">
        <v>34</v>
      </c>
      <c r="B8" s="194" t="s">
        <v>50</v>
      </c>
      <c r="C8" s="195">
        <v>43983</v>
      </c>
      <c r="D8" s="194" t="s">
        <v>42</v>
      </c>
      <c r="E8">
        <v>30</v>
      </c>
      <c r="F8" s="191">
        <v>99000</v>
      </c>
      <c r="G8" s="191">
        <f t="shared" si="0"/>
        <v>2970000</v>
      </c>
      <c r="I8" s="194" t="str" cm="1">
        <f t="array" ref="I8">IFERROR(LOOKUP(2, 1/(COUNTIF($I$1:I7, 표1[영수증번호])=0), 표1[영수증번호]),"")</f>
        <v/>
      </c>
    </row>
    <row r="9" spans="1:9" x14ac:dyDescent="0.4">
      <c r="A9" s="194" t="s">
        <v>44</v>
      </c>
      <c r="B9" s="194" t="s">
        <v>51</v>
      </c>
      <c r="C9" s="195">
        <v>43984</v>
      </c>
      <c r="D9" s="194" t="s">
        <v>45</v>
      </c>
      <c r="E9">
        <v>5</v>
      </c>
      <c r="F9" s="191">
        <v>315000</v>
      </c>
      <c r="G9" s="191">
        <f t="shared" si="0"/>
        <v>1575000</v>
      </c>
      <c r="I9" s="194" t="str" cm="1">
        <f t="array" ref="I9">IFERROR(LOOKUP(2, 1/(COUNTIF($I$1:I8, 표1[영수증번호])=0), 표1[영수증번호]),"")</f>
        <v/>
      </c>
    </row>
    <row r="10" spans="1:9" x14ac:dyDescent="0.4">
      <c r="A10" s="194" t="s">
        <v>44</v>
      </c>
      <c r="B10" s="194" t="s">
        <v>51</v>
      </c>
      <c r="C10" s="195">
        <v>43984</v>
      </c>
      <c r="D10" s="194" t="s">
        <v>46</v>
      </c>
      <c r="E10">
        <v>3</v>
      </c>
      <c r="F10" s="191">
        <v>927000</v>
      </c>
      <c r="G10" s="191">
        <f t="shared" si="0"/>
        <v>2781000</v>
      </c>
      <c r="I10" s="194" t="str" cm="1">
        <f t="array" ref="I10">IFERROR(LOOKUP(2, 1/(COUNTIF($I$1:I9, 표1[영수증번호])=0), 표1[영수증번호]),"")</f>
        <v/>
      </c>
    </row>
    <row r="11" spans="1:9" x14ac:dyDescent="0.4">
      <c r="A11" s="194" t="s">
        <v>44</v>
      </c>
      <c r="B11" s="194" t="s">
        <v>51</v>
      </c>
      <c r="C11" s="195">
        <v>43984</v>
      </c>
      <c r="D11" s="194" t="s">
        <v>47</v>
      </c>
      <c r="E11">
        <v>30</v>
      </c>
      <c r="F11" s="191">
        <v>33000</v>
      </c>
      <c r="G11" s="191">
        <f t="shared" si="0"/>
        <v>990000</v>
      </c>
      <c r="I11" s="194" t="str" cm="1">
        <f t="array" ref="I11">IFERROR(LOOKUP(2, 1/(COUNTIF($I$1:I10, 표1[영수증번호])=0), 표1[영수증번호]),"")</f>
        <v/>
      </c>
    </row>
    <row r="12" spans="1:9" x14ac:dyDescent="0.4">
      <c r="A12" s="194" t="s">
        <v>44</v>
      </c>
      <c r="B12" s="194" t="s">
        <v>51</v>
      </c>
      <c r="C12" s="195">
        <v>43984</v>
      </c>
      <c r="D12" s="194" t="s">
        <v>48</v>
      </c>
      <c r="E12">
        <v>2</v>
      </c>
      <c r="F12" s="191">
        <v>3152000</v>
      </c>
      <c r="G12" s="191">
        <f t="shared" si="0"/>
        <v>6304000</v>
      </c>
      <c r="I12" s="194" t="str" cm="1">
        <f t="array" ref="I12">IFERROR(LOOKUP(2, 1/(COUNTIF($I$1:I11, 표1[영수증번호])=0), 표1[영수증번호]),"")</f>
        <v/>
      </c>
    </row>
    <row r="13" spans="1:9" x14ac:dyDescent="0.4">
      <c r="I13" s="194" t="str" cm="1">
        <f t="array" ref="I13">IFERROR(LOOKUP(2, 1/(COUNTIF($I$1:I12, 표1[영수증번호])=0), 표1[영수증번호]),"")</f>
        <v/>
      </c>
    </row>
    <row r="14" spans="1:9" x14ac:dyDescent="0.4">
      <c r="I14" s="194" t="str" cm="1">
        <f t="array" ref="I14">IFERROR(LOOKUP(2, 1/(COUNTIF($I$1:I13, 표1[영수증번호])=0), 표1[영수증번호]),"")</f>
        <v/>
      </c>
    </row>
    <row r="15" spans="1:9" x14ac:dyDescent="0.4">
      <c r="I15" s="194" t="str" cm="1">
        <f t="array" ref="I15">IFERROR(LOOKUP(2, 1/(COUNTIF($I$1:I14, 표1[영수증번호])=0), 표1[영수증번호]),"")</f>
        <v/>
      </c>
    </row>
    <row r="16" spans="1:9" x14ac:dyDescent="0.4">
      <c r="I16" s="194" t="str" cm="1">
        <f t="array" ref="I16">IFERROR(LOOKUP(2, 1/(COUNTIF($I$1:I15, 표1[영수증번호])=0), 표1[영수증번호]),"")</f>
        <v/>
      </c>
    </row>
    <row r="17" spans="9:9" x14ac:dyDescent="0.4">
      <c r="I17" s="194" t="str" cm="1">
        <f t="array" ref="I17">IFERROR(LOOKUP(2, 1/(COUNTIF($I$1:I16, 표1[영수증번호])=0), 표1[영수증번호]),"")</f>
        <v/>
      </c>
    </row>
    <row r="18" spans="9:9" x14ac:dyDescent="0.4">
      <c r="I18" s="194" t="str" cm="1">
        <f t="array" ref="I18">IFERROR(LOOKUP(2, 1/(COUNTIF($I$1:I17, 표1[영수증번호])=0), 표1[영수증번호]),"")</f>
        <v/>
      </c>
    </row>
    <row r="19" spans="9:9" x14ac:dyDescent="0.4">
      <c r="I19" s="194" t="str" cm="1">
        <f t="array" ref="I19">IFERROR(LOOKUP(2, 1/(COUNTIF($I$1:I18, 표1[영수증번호])=0), 표1[영수증번호]),"")</f>
        <v/>
      </c>
    </row>
    <row r="20" spans="9:9" x14ac:dyDescent="0.4">
      <c r="I20" s="194" t="str" cm="1">
        <f t="array" ref="I20">IFERROR(LOOKUP(2, 1/(COUNTIF($I$1:I19, 표1[영수증번호])=0), 표1[영수증번호]),"")</f>
        <v/>
      </c>
    </row>
    <row r="21" spans="9:9" x14ac:dyDescent="0.4">
      <c r="I21" s="194" t="str" cm="1">
        <f t="array" ref="I21">IFERROR(LOOKUP(2, 1/(COUNTIF($I$1:I20, 표1[영수증번호])=0), 표1[영수증번호]),"")</f>
        <v/>
      </c>
    </row>
    <row r="22" spans="9:9" x14ac:dyDescent="0.4">
      <c r="I22" s="194" t="str" cm="1">
        <f t="array" ref="I22">IFERROR(LOOKUP(2, 1/(COUNTIF($I$1:I21, 표1[영수증번호])=0), 표1[영수증번호]),"")</f>
        <v/>
      </c>
    </row>
    <row r="23" spans="9:9" x14ac:dyDescent="0.4">
      <c r="I23" s="194" t="str" cm="1">
        <f t="array" ref="I23">IFERROR(LOOKUP(2, 1/(COUNTIF($I$1:I22, 표1[영수증번호])=0), 표1[영수증번호]),"")</f>
        <v/>
      </c>
    </row>
    <row r="24" spans="9:9" x14ac:dyDescent="0.4">
      <c r="I24" s="194" t="str" cm="1">
        <f t="array" ref="I24">IFERROR(LOOKUP(2, 1/(COUNTIF($I$1:I23, 표1[영수증번호])=0), 표1[영수증번호]),"")</f>
        <v/>
      </c>
    </row>
    <row r="25" spans="9:9" x14ac:dyDescent="0.4">
      <c r="I25" s="194" t="str" cm="1">
        <f t="array" ref="I25">IFERROR(LOOKUP(2, 1/(COUNTIF($I$1:I24, 표1[영수증번호])=0), 표1[영수증번호]),"")</f>
        <v/>
      </c>
    </row>
    <row r="26" spans="9:9" x14ac:dyDescent="0.4">
      <c r="I26" s="194" t="str" cm="1">
        <f t="array" ref="I26">IFERROR(LOOKUP(2, 1/(COUNTIF($I$1:I25, 표1[영수증번호])=0), 표1[영수증번호]),"")</f>
        <v/>
      </c>
    </row>
    <row r="27" spans="9:9" x14ac:dyDescent="0.4">
      <c r="I27" s="194" t="str" cm="1">
        <f t="array" ref="I27">IFERROR(LOOKUP(2, 1/(COUNTIF($I$1:I26, 표1[영수증번호])=0), 표1[영수증번호]),"")</f>
        <v/>
      </c>
    </row>
    <row r="28" spans="9:9" x14ac:dyDescent="0.4">
      <c r="I28" s="194" t="str" cm="1">
        <f t="array" ref="I28">IFERROR(LOOKUP(2, 1/(COUNTIF($I$1:I27, 표1[영수증번호])=0), 표1[영수증번호]),"")</f>
        <v/>
      </c>
    </row>
    <row r="29" spans="9:9" x14ac:dyDescent="0.4">
      <c r="I29" s="194" t="str" cm="1">
        <f t="array" ref="I29">IFERROR(LOOKUP(2, 1/(COUNTIF($I$1:I28, 표1[영수증번호])=0), 표1[영수증번호]),"")</f>
        <v/>
      </c>
    </row>
    <row r="30" spans="9:9" x14ac:dyDescent="0.4">
      <c r="I30" s="194" t="str" cm="1">
        <f t="array" ref="I30">IFERROR(LOOKUP(2, 1/(COUNTIF($I$1:I29, 표1[영수증번호])=0), 표1[영수증번호]),"")</f>
        <v/>
      </c>
    </row>
    <row r="31" spans="9:9" x14ac:dyDescent="0.4">
      <c r="I31" s="194" t="str" cm="1">
        <f t="array" ref="I31">IFERROR(LOOKUP(2, 1/(COUNTIF($I$1:I30, 표1[영수증번호])=0), 표1[영수증번호]),"")</f>
        <v/>
      </c>
    </row>
    <row r="32" spans="9:9" x14ac:dyDescent="0.4">
      <c r="I32" s="194" t="str" cm="1">
        <f t="array" ref="I32">IFERROR(LOOKUP(2, 1/(COUNTIF($I$1:I31, 표1[영수증번호])=0), 표1[영수증번호]),"")</f>
        <v/>
      </c>
    </row>
    <row r="33" spans="9:9" x14ac:dyDescent="0.4">
      <c r="I33" s="194" t="str" cm="1">
        <f t="array" ref="I33">IFERROR(LOOKUP(2, 1/(COUNTIF($I$1:I32, 표1[영수증번호])=0), 표1[영수증번호]),"")</f>
        <v/>
      </c>
    </row>
    <row r="34" spans="9:9" x14ac:dyDescent="0.4">
      <c r="I34" s="194" t="str" cm="1">
        <f t="array" ref="I34">IFERROR(LOOKUP(2, 1/(COUNTIF($I$1:I33, 표1[영수증번호])=0), 표1[영수증번호]),"")</f>
        <v/>
      </c>
    </row>
    <row r="35" spans="9:9" x14ac:dyDescent="0.4">
      <c r="I35" s="194" t="str" cm="1">
        <f t="array" ref="I35">IFERROR(LOOKUP(2, 1/(COUNTIF($I$1:I34, 표1[영수증번호])=0), 표1[영수증번호]),"")</f>
        <v/>
      </c>
    </row>
    <row r="36" spans="9:9" x14ac:dyDescent="0.4">
      <c r="I36" s="194" t="str" cm="1">
        <f t="array" ref="I36">IFERROR(LOOKUP(2, 1/(COUNTIF($I$1:I35, 표1[영수증번호])=0), 표1[영수증번호]),"")</f>
        <v/>
      </c>
    </row>
    <row r="37" spans="9:9" x14ac:dyDescent="0.4">
      <c r="I37" s="194" t="str" cm="1">
        <f t="array" ref="I37">IFERROR(LOOKUP(2, 1/(COUNTIF($I$1:I36, 표1[영수증번호])=0), 표1[영수증번호]),"")</f>
        <v/>
      </c>
    </row>
    <row r="38" spans="9:9" x14ac:dyDescent="0.4">
      <c r="I38" s="194" t="str" cm="1">
        <f t="array" ref="I38">IFERROR(LOOKUP(2, 1/(COUNTIF($I$1:I37, 표1[영수증번호])=0), 표1[영수증번호]),"")</f>
        <v/>
      </c>
    </row>
    <row r="39" spans="9:9" x14ac:dyDescent="0.4">
      <c r="I39" s="194" t="str" cm="1">
        <f t="array" ref="I39">IFERROR(LOOKUP(2, 1/(COUNTIF($I$1:I38, 표1[영수증번호])=0), 표1[영수증번호]),"")</f>
        <v/>
      </c>
    </row>
    <row r="40" spans="9:9" x14ac:dyDescent="0.4">
      <c r="I40" s="194" t="str" cm="1">
        <f t="array" ref="I40">IFERROR(LOOKUP(2, 1/(COUNTIF($I$1:I39, 표1[영수증번호])=0), 표1[영수증번호]),"")</f>
        <v/>
      </c>
    </row>
    <row r="41" spans="9:9" x14ac:dyDescent="0.4">
      <c r="I41" s="194" t="str" cm="1">
        <f t="array" ref="I41">IFERROR(LOOKUP(2, 1/(COUNTIF($I$1:I40, 표1[영수증번호])=0), 표1[영수증번호]),"")</f>
        <v/>
      </c>
    </row>
    <row r="42" spans="9:9" x14ac:dyDescent="0.4">
      <c r="I42" s="194" t="str" cm="1">
        <f t="array" ref="I42">IFERROR(LOOKUP(2, 1/(COUNTIF($I$1:I41, 표1[영수증번호])=0), 표1[영수증번호]),"")</f>
        <v/>
      </c>
    </row>
    <row r="43" spans="9:9" x14ac:dyDescent="0.4">
      <c r="I43" s="194" t="str" cm="1">
        <f t="array" ref="I43">IFERROR(LOOKUP(2, 1/(COUNTIF($I$1:I42, 표1[영수증번호])=0), 표1[영수증번호]),"")</f>
        <v/>
      </c>
    </row>
    <row r="44" spans="9:9" x14ac:dyDescent="0.4">
      <c r="I44" s="194" t="str" cm="1">
        <f t="array" ref="I44">IFERROR(LOOKUP(2, 1/(COUNTIF($I$1:I43, 표1[영수증번호])=0), 표1[영수증번호]),"")</f>
        <v/>
      </c>
    </row>
    <row r="45" spans="9:9" x14ac:dyDescent="0.4">
      <c r="I45" s="194" t="str" cm="1">
        <f t="array" ref="I45">IFERROR(LOOKUP(2, 1/(COUNTIF($I$1:I44, 표1[영수증번호])=0), 표1[영수증번호]),"")</f>
        <v/>
      </c>
    </row>
    <row r="46" spans="9:9" x14ac:dyDescent="0.4">
      <c r="I46" s="194" t="str" cm="1">
        <f t="array" ref="I46">IFERROR(LOOKUP(2, 1/(COUNTIF($I$1:I45, 표1[영수증번호])=0), 표1[영수증번호]),"")</f>
        <v/>
      </c>
    </row>
    <row r="47" spans="9:9" x14ac:dyDescent="0.4">
      <c r="I47" s="194" t="str" cm="1">
        <f t="array" ref="I47">IFERROR(LOOKUP(2, 1/(COUNTIF($I$1:I46, 표1[영수증번호])=0), 표1[영수증번호]),"")</f>
        <v/>
      </c>
    </row>
    <row r="48" spans="9:9" x14ac:dyDescent="0.4">
      <c r="I48" s="194" t="str" cm="1">
        <f t="array" ref="I48">IFERROR(LOOKUP(2, 1/(COUNTIF($I$1:I47, 표1[영수증번호])=0), 표1[영수증번호]),"")</f>
        <v/>
      </c>
    </row>
    <row r="49" spans="9:9" x14ac:dyDescent="0.4">
      <c r="I49" s="194" t="str" cm="1">
        <f t="array" ref="I49">IFERROR(LOOKUP(2, 1/(COUNTIF($I$1:I48, 표1[영수증번호])=0), 표1[영수증번호]),"")</f>
        <v/>
      </c>
    </row>
    <row r="50" spans="9:9" x14ac:dyDescent="0.4">
      <c r="I50" s="194" t="str" cm="1">
        <f t="array" ref="I50">IFERROR(LOOKUP(2, 1/(COUNTIF($I$1:I49, 표1[영수증번호])=0), 표1[영수증번호]),"")</f>
        <v/>
      </c>
    </row>
    <row r="51" spans="9:9" x14ac:dyDescent="0.4">
      <c r="I51" s="194" t="str" cm="1">
        <f t="array" ref="I51">IFERROR(LOOKUP(2, 1/(COUNTIF($I$1:I50, 표1[영수증번호])=0), 표1[영수증번호]),"")</f>
        <v/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영수증(빈 서식)</vt:lpstr>
      <vt:lpstr>영수증</vt:lpstr>
      <vt:lpstr>영수증DB</vt:lpstr>
      <vt:lpstr>영수증!Print_Area</vt:lpstr>
      <vt:lpstr>'영수증(빈 서식)'!Print_Area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오빠두엑셀</dc:creator>
  <cp:lastModifiedBy>전진권</cp:lastModifiedBy>
  <cp:lastPrinted>2020-06-10T05:02:00Z</cp:lastPrinted>
  <dcterms:created xsi:type="dcterms:W3CDTF">2020-06-10T03:56:22Z</dcterms:created>
  <dcterms:modified xsi:type="dcterms:W3CDTF">2024-10-04T06:37:23Z</dcterms:modified>
</cp:coreProperties>
</file>